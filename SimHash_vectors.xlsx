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The Vectors" sheetId="2" state="visible" r:id="rId4"/>
    <sheet name="2 Cosine Similarity" sheetId="3" state="visible" r:id="rId5"/>
    <sheet name="3a One Hyperplane" sheetId="4" state="visible" r:id="rId6"/>
    <sheet name="3 SimHash" sheetId="5" state="visible" r:id="rId7"/>
    <sheet name="4 LSH Bucke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<sst xmlns="http://schemas.openxmlformats.org/spreadsheetml/2006/main" count="154" uniqueCount="138">
  <si>
    <t xml:space="preserve">Finding Similar VECTORS with SimHash + LSH</t>
  </si>
  <si>
    <t xml:space="preserve">The vector twin of the text workbook: same pipeline, cosine similarity instead of Jaccard</t>
  </si>
  <si>
    <t xml:space="preserve">The one idea that changes</t>
  </si>
  <si>
    <t xml:space="preserve">In the text workbook each document was a SET of pieces, and we asked 'which piece comes first in a random shuffle?'. Here each document is a VECTOR of numbers, and we ask a different one-question game: 'which side of a random line does my vector fall on?'. That yes/no (a single bit) is the whole move. Similar vectors point in similar directions, so a random line usually leaves them on the same side.</t>
  </si>
  <si>
    <t xml:space="preserve">The text workbook vs this one</t>
  </si>
  <si>
    <t xml:space="preserve">Stage</t>
  </si>
  <si>
    <t xml:space="preserve">Text (MinHash)</t>
  </si>
  <si>
    <t xml:space="preserve">Vectors (SimHash)</t>
  </si>
  <si>
    <t xml:space="preserve">A document is...</t>
  </si>
  <si>
    <t xml:space="preserve">a set of shingles</t>
  </si>
  <si>
    <t xml:space="preserve">a vector of numbers</t>
  </si>
  <si>
    <t xml:space="preserve">True similarity</t>
  </si>
  <si>
    <t xml:space="preserve">Jaccard = shared/total</t>
  </si>
  <si>
    <t xml:space="preserve">Cosine = alignment of directions</t>
  </si>
  <si>
    <t xml:space="preserve">The random move</t>
  </si>
  <si>
    <t xml:space="preserve">shuffle; take first piece</t>
  </si>
  <si>
    <t xml:space="preserve">random line; take which side</t>
  </si>
  <si>
    <t xml:space="preserve">One trial records</t>
  </si>
  <si>
    <t xml:space="preserve">an ID (the first piece)</t>
  </si>
  <si>
    <t xml:space="preserve">a bit (0 or 1: the side)</t>
  </si>
  <si>
    <t xml:space="preserve">Match probability</t>
  </si>
  <si>
    <t xml:space="preserve">equals Jaccard exactly</t>
  </si>
  <si>
    <t xml:space="preserve">equals 1 - angle/180 exactly</t>
  </si>
  <si>
    <t xml:space="preserve">Fingerprint</t>
  </si>
  <si>
    <t xml:space="preserve">list of min-pieces</t>
  </si>
  <si>
    <t xml:space="preserve">string of side-bits</t>
  </si>
  <si>
    <t xml:space="preserve">Then...</t>
  </si>
  <si>
    <t xml:space="preserve">band -&gt; bucket -&gt; compare</t>
  </si>
  <si>
    <t xml:space="preserve">band -&gt; bucket -&gt; compare (identical)</t>
  </si>
  <si>
    <t xml:space="preserve">One surprise worth watching (it differs from MinHash)</t>
  </si>
  <si>
    <t xml:space="preserve">With sets, two documents that share NOTHING never matched. With vectors it is different: two vectors at 90 degrees (completely unrelated) still land on the same side of a random line HALF the time. So a single bit is a noisier signal here - orthogonal means 50% match, not 0%. That is exactly why the vector fingerprints need a good number of bits, and why the buckets need several bits per band.</t>
  </si>
  <si>
    <t xml:space="preserve">Colour key</t>
  </si>
  <si>
    <t xml:space="preserve">Blue</t>
  </si>
  <si>
    <t xml:space="preserve">raw data you may edit (the vectors, the random lines)</t>
  </si>
  <si>
    <t xml:space="preserve">Black</t>
  </si>
  <si>
    <t xml:space="preserve">a live formula - click it to see the actual math</t>
  </si>
  <si>
    <t xml:space="preserve">Green</t>
  </si>
  <si>
    <t xml:space="preserve">a match / same-side / same-bucket moment</t>
  </si>
  <si>
    <t xml:space="preserve">Step 1 - Documents as vectors</t>
  </si>
  <si>
    <t xml:space="preserve">Each document is turned into a list of numbers - here, how often each of five words appears. The direction a vector points captures what the document is 'about'. DocA and DocB are both about sport (their numbers sit in the same three slots); DocC is about plants (its numbers sit in different slots). Real systems use hundreds of numbers from a neural network, but the idea is identical.</t>
  </si>
  <si>
    <t xml:space="preserve">Feature (word)</t>
  </si>
  <si>
    <t xml:space="preserve">DocA (basketball-like)</t>
  </si>
  <si>
    <t xml:space="preserve">DocB (volleyball-like)</t>
  </si>
  <si>
    <t xml:space="preserve">DocC (photosynthesis-like)</t>
  </si>
  <si>
    <t xml:space="preserve">ball</t>
  </si>
  <si>
    <t xml:space="preserve">court</t>
  </si>
  <si>
    <t xml:space="preserve">team</t>
  </si>
  <si>
    <t xml:space="preserve">plant</t>
  </si>
  <si>
    <t xml:space="preserve">energy</t>
  </si>
  <si>
    <t xml:space="preserve">length (magnitude)</t>
  </si>
  <si>
    <t xml:space="preserve">DocA and DocB put their weight in the first three words (ball/court/team); DocC puts its weight in the last two (plant/energy). That is why, in the next sheet, A and B will look aligned and C will look unrelated.</t>
  </si>
  <si>
    <t xml:space="preserve">Step 2 - True similarity = cosine (the ground truth)</t>
  </si>
  <si>
    <t xml:space="preserve">Cosine similarity measures how ALIGNED two vectors are, ignoring their length. It is the dot product divided by the two lengths: 1.0 means same direction, 0 means at right angles (unrelated), -1 means opposite. Every number below is a live formula reading Sheet 1.</t>
  </si>
  <si>
    <t xml:space="preserve">Pair</t>
  </si>
  <si>
    <t xml:space="preserve">Dot product</t>
  </si>
  <si>
    <t xml:space="preserve">length 1</t>
  </si>
  <si>
    <t xml:space="preserve">length 2</t>
  </si>
  <si>
    <t xml:space="preserve">Cosine = dot/(L1*L2)</t>
  </si>
  <si>
    <t xml:space="preserve">Angle (deg)</t>
  </si>
  <si>
    <t xml:space="preserve">DocA vs DocB</t>
  </si>
  <si>
    <t xml:space="preserve">DocA vs DocC</t>
  </si>
  <si>
    <t xml:space="preserve">DocB vs DocC</t>
  </si>
  <si>
    <t xml:space="preserve">DocA vs DocB is about 0.84 (well aligned, ~32 degrees apart). Both sports vs DocC are 0 (exactly at right angles). Hold these - SimHash will estimate them from coin-flip bits.</t>
  </si>
  <si>
    <t xml:space="preserve">Step 3a - One random line, seen up close (read before the big table)</t>
  </si>
  <si>
    <t xml:space="preserve">A 'random line' is just a random vector (its normal). To ask which side a document is on, take the dot product of the document with this random vector: positive = one side (bit 1), negative = the other side (bit 0). Nothing else is happening. Below is ONE random line and the dot product worked out term by term, so you can follow the arithmetic.</t>
  </si>
  <si>
    <t xml:space="preserve">The random line (its 5 numbers):</t>
  </si>
  <si>
    <t xml:space="preserve">Feature</t>
  </si>
  <si>
    <t xml:space="preserve">Line value</t>
  </si>
  <si>
    <t xml:space="preserve">DocA * line</t>
  </si>
  <si>
    <t xml:space="preserve">DocB * line</t>
  </si>
  <si>
    <t xml:space="preserve">DocC * line</t>
  </si>
  <si>
    <t xml:space="preserve">dot product (sum):</t>
  </si>
  <si>
    <t xml:space="preserve">which side? (bit)</t>
  </si>
  <si>
    <t xml:space="preserve">side label</t>
  </si>
  <si>
    <t xml:space="preserve">Do the two sports vectors land on the same side here?</t>
  </si>
  <si>
    <t xml:space="preserve">One line = one bit = one noisy vote. On this particular line the two sports agree. But remember: even unrelated vectors agree half the time on a single line, so one bit proves little. The fix, on the next sheet, is to draw many lines and count how often each pair agrees.</t>
  </si>
  <si>
    <t xml:space="preserve">Step 3 - SimHash: turn each vector into a string of side-bits</t>
  </si>
  <si>
    <t xml:space="preserve">Draw many random lines. For each line, record which side each document is on (1 or 0). That string of bits is the document's fingerprint. Two documents that point the same way agree on most lines; unrelated ones agree about half the time. The blue block is the random lines (5 numbers each); every black column is a live formula.</t>
  </si>
  <si>
    <t xml:space="preserve">The random lines, the dot products, the bits, and the agreements:</t>
  </si>
  <si>
    <t xml:space="preserve">line</t>
  </si>
  <si>
    <t xml:space="preserve">n1</t>
  </si>
  <si>
    <t xml:space="preserve">n2</t>
  </si>
  <si>
    <t xml:space="preserve">n3</t>
  </si>
  <si>
    <t xml:space="preserve">n4</t>
  </si>
  <si>
    <t xml:space="preserve">n5</t>
  </si>
  <si>
    <t xml:space="preserve">dotA</t>
  </si>
  <si>
    <t xml:space="preserve">dotB</t>
  </si>
  <si>
    <t xml:space="preserve">dotC</t>
  </si>
  <si>
    <t xml:space="preserve">bitA</t>
  </si>
  <si>
    <t xml:space="preserve">bitB</t>
  </si>
  <si>
    <t xml:space="preserve">bitC</t>
  </si>
  <si>
    <t xml:space="preserve">A=B</t>
  </si>
  <si>
    <t xml:space="preserve">A=C</t>
  </si>
  <si>
    <t xml:space="preserve">B=C</t>
  </si>
  <si>
    <t xml:space="preserve">From bits back to cosine:</t>
  </si>
  <si>
    <t xml:space="preserve">Bits agree / 48</t>
  </si>
  <si>
    <t xml:space="preserve">Match fraction p</t>
  </si>
  <si>
    <t xml:space="preserve">Est. angle =180*(1-p)</t>
  </si>
  <si>
    <t xml:space="preserve">Est. cosine =COS</t>
  </si>
  <si>
    <t xml:space="preserve">TRUE cosine</t>
  </si>
  <si>
    <t xml:space="preserve">The estimate (from bits alone) lands near the true cosine. Look at DocA vs DocC: its match fraction sits near 0.5, which the formula turns into ~90 degrees and cosine ~0 - it correctly recovers 'unrelated'. That 50% floor is the vector world's version of noise.</t>
  </si>
  <si>
    <t xml:space="preserve">Step 4 - LSH: cut the bit-strings into bands, bands become buckets</t>
  </si>
  <si>
    <t xml:space="preserve">Same trick as the text workbook. Chop each {K}-bit fingerprint into {B} bands of {R} bits. Glue each band's bits into a label. If two documents produce the SAME label in ANY band, they share a bucket and become a candidate pair worth a full cosine check. Everything else is never compared. (We use 6 bits per band because unrelated vectors agree ~50% of the time, so short bands would collide too often.)</t>
  </si>
  <si>
    <t xml:space="preserve">Band</t>
  </si>
  <si>
    <t xml:space="preserve">Bits (rows)</t>
  </si>
  <si>
    <t xml:space="preserve">DocA label</t>
  </si>
  <si>
    <t xml:space="preserve">DocB label</t>
  </si>
  <si>
    <t xml:space="preserve">DocC label</t>
  </si>
  <si>
    <t xml:space="preserve">A=B?</t>
  </si>
  <si>
    <t xml:space="preserve">A=C?</t>
  </si>
  <si>
    <t xml:space="preserve">B=C?</t>
  </si>
  <si>
    <t xml:space="preserve">Band 1</t>
  </si>
  <si>
    <t xml:space="preserve">1-6</t>
  </si>
  <si>
    <t xml:space="preserve">Band 2</t>
  </si>
  <si>
    <t xml:space="preserve">7-12</t>
  </si>
  <si>
    <t xml:space="preserve">Band 3</t>
  </si>
  <si>
    <t xml:space="preserve">13-18</t>
  </si>
  <si>
    <t xml:space="preserve">Band 4</t>
  </si>
  <si>
    <t xml:space="preserve">19-24</t>
  </si>
  <si>
    <t xml:space="preserve">Band 5</t>
  </si>
  <si>
    <t xml:space="preserve">25-30</t>
  </si>
  <si>
    <t xml:space="preserve">Band 6</t>
  </si>
  <si>
    <t xml:space="preserve">31-36</t>
  </si>
  <si>
    <t xml:space="preserve">Band 7</t>
  </si>
  <si>
    <t xml:space="preserve">37-42</t>
  </si>
  <si>
    <t xml:space="preserve">Band 8</t>
  </si>
  <si>
    <t xml:space="preserve">43-48</t>
  </si>
  <si>
    <t xml:space="preserve">Verdict</t>
  </si>
  <si>
    <t xml:space="preserve">Shared bands</t>
  </si>
  <si>
    <t xml:space="preserve">Candidate?</t>
  </si>
  <si>
    <t xml:space="preserve">Meaning</t>
  </si>
  <si>
    <t xml:space="preserve">Aligned vectors -&gt; collide -&gt; get compared.</t>
  </si>
  <si>
    <t xml:space="preserve">At right angles -&gt; never share a bucket -&gt; skipped.</t>
  </si>
  <si>
    <t xml:space="preserve">Why several bits per band? The S-curve</t>
  </si>
  <si>
    <t xml:space="preserve">P(candidate) = 1-(1-p^6)^8, where p = chance two vectors agree on one line = 1 - angle/180. Plotted against cosine similarity, unrelated pairs (cosine 0, p 0.5) almost never collide while aligned pairs (cosine near 1) almost always do.</t>
  </si>
  <si>
    <t xml:space="preserve">Cosine</t>
  </si>
  <si>
    <t xml:space="preserve">p = 1-angle/180</t>
  </si>
  <si>
    <t xml:space="preserve">P(candidate)</t>
  </si>
</sst>
</file>

<file path=xl/styles.xml><?xml version="1.0" encoding="utf-8"?>
<styleSheet xmlns="http://schemas.openxmlformats.org/spreadsheetml/2006/main">
  <numFmts count="5">
    <numFmt numFmtId="164" formatCode="General"/>
    <numFmt numFmtId="165" formatCode="0.00"/>
    <numFmt numFmtId="166" formatCode="0.000"/>
    <numFmt numFmtId="167" formatCode="0.0"/>
    <numFmt numFmtId="168"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1"/>
      <color rgb="FF595959"/>
      <name val="Arial"/>
      <family val="0"/>
      <charset val="1"/>
    </font>
    <font>
      <b val="true"/>
      <sz val="12"/>
      <color rgb="FF1F3864"/>
      <name val="Arial"/>
      <family val="0"/>
      <charset val="1"/>
    </font>
    <font>
      <sz val="10"/>
      <name val="Arial"/>
      <family val="0"/>
      <charset val="1"/>
    </font>
    <font>
      <b val="true"/>
      <sz val="11"/>
      <name val="Arial"/>
      <family val="0"/>
      <charset val="1"/>
    </font>
    <font>
      <sz val="10"/>
      <color rgb="FF0000FF"/>
      <name val="Arial"/>
      <family val="0"/>
      <charset val="1"/>
    </font>
    <font>
      <b val="true"/>
      <sz val="10"/>
      <color rgb="FFFFFFFF"/>
      <name val="Arial"/>
      <family val="0"/>
      <charset val="1"/>
    </font>
    <font>
      <i val="true"/>
      <sz val="9"/>
      <color rgb="FF595959"/>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D9E2F3"/>
        <bgColor rgb="FFD9D9D9"/>
      </patternFill>
    </fill>
    <fill>
      <patternFill patternType="solid">
        <fgColor rgb="FFFFF2CC"/>
        <bgColor rgb="FFFFFFFF"/>
      </patternFill>
    </fill>
    <fill>
      <patternFill patternType="solid">
        <fgColor rgb="FFC6EFCE"/>
        <bgColor rgb="FFD9E2F3"/>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7" fillId="2"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5" fontId="8"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S-curve: chance of sharing a bucket vs cosine similarity</a:t>
            </a:r>
          </a:p>
        </c:rich>
      </c:tx>
      <c:overlay val="0"/>
      <c:spPr>
        <a:noFill/>
        <a:ln w="0">
          <a:noFill/>
        </a:ln>
      </c:spPr>
    </c:title>
    <c:autoTitleDeleted val="0"/>
    <c:plotArea>
      <c:lineChart>
        <c:grouping val="standard"/>
        <c:varyColors val="0"/>
        <c:ser>
          <c:idx val="0"/>
          <c:order val="0"/>
          <c:tx>
            <c:strRef>
              <c:f>'4 LSH Buckets'!D27</c:f>
              <c:strCache>
                <c:ptCount val="1"/>
                <c:pt idx="0">
                  <c:v>P(candidate)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LSH Buckets'!$B$28:$B$53</c:f>
              <c:strCache>
                <c:ptCount val="26"/>
                <c:pt idx="0">
                  <c:v>-1.00</c:v>
                </c:pt>
                <c:pt idx="1">
                  <c:v>-0.92</c:v>
                </c:pt>
                <c:pt idx="2">
                  <c:v>-0.84</c:v>
                </c:pt>
                <c:pt idx="3">
                  <c:v>-0.76</c:v>
                </c:pt>
                <c:pt idx="4">
                  <c:v>-0.68</c:v>
                </c:pt>
                <c:pt idx="5">
                  <c:v>-0.60</c:v>
                </c:pt>
                <c:pt idx="6">
                  <c:v>-0.52</c:v>
                </c:pt>
                <c:pt idx="7">
                  <c:v>-0.44</c:v>
                </c:pt>
                <c:pt idx="8">
                  <c:v>-0.36</c:v>
                </c:pt>
                <c:pt idx="9">
                  <c:v>-0.28</c:v>
                </c:pt>
                <c:pt idx="10">
                  <c:v>-0.20</c:v>
                </c:pt>
                <c:pt idx="11">
                  <c:v>-0.12</c:v>
                </c:pt>
                <c:pt idx="12">
                  <c:v>-0.04</c:v>
                </c:pt>
                <c:pt idx="13">
                  <c:v>0.04</c:v>
                </c:pt>
                <c:pt idx="14">
                  <c:v>0.12</c:v>
                </c:pt>
                <c:pt idx="15">
                  <c:v>0.20</c:v>
                </c:pt>
                <c:pt idx="16">
                  <c:v>0.28</c:v>
                </c:pt>
                <c:pt idx="17">
                  <c:v>0.36</c:v>
                </c:pt>
                <c:pt idx="18">
                  <c:v>0.44</c:v>
                </c:pt>
                <c:pt idx="19">
                  <c:v>0.52</c:v>
                </c:pt>
                <c:pt idx="20">
                  <c:v>0.60</c:v>
                </c:pt>
                <c:pt idx="21">
                  <c:v>0.68</c:v>
                </c:pt>
                <c:pt idx="22">
                  <c:v>0.76</c:v>
                </c:pt>
                <c:pt idx="23">
                  <c:v>0.84</c:v>
                </c:pt>
                <c:pt idx="24">
                  <c:v>0.92</c:v>
                </c:pt>
                <c:pt idx="25">
                  <c:v>1.00</c:v>
                </c:pt>
              </c:strCache>
            </c:strRef>
          </c:cat>
          <c:val>
            <c:numRef>
              <c:f>'4 LSH Buckets'!$D$28:$D$53</c:f>
              <c:numCache>
                <c:formatCode>0.000</c:formatCode>
                <c:ptCount val="26"/>
                <c:pt idx="0">
                  <c:v>0</c:v>
                </c:pt>
                <c:pt idx="1">
                  <c:v>3.54957444287374E-005</c:v>
                </c:pt>
                <c:pt idx="2">
                  <c:v>0.000296070109207292</c:v>
                </c:pt>
                <c:pt idx="3">
                  <c:v>0.00104301204278356</c:v>
                </c:pt>
                <c:pt idx="4">
                  <c:v>0.00258347966975703</c:v>
                </c:pt>
                <c:pt idx="5">
                  <c:v>0.00527829693166082</c:v>
                </c:pt>
                <c:pt idx="6">
                  <c:v>0.00955058025417488</c:v>
                </c:pt>
                <c:pt idx="7">
                  <c:v>0.0158950546007164</c:v>
                </c:pt>
                <c:pt idx="8">
                  <c:v>0.0248877469289208</c:v>
                </c:pt>
                <c:pt idx="9">
                  <c:v>0.0371954694829925</c:v>
                </c:pt>
                <c:pt idx="10">
                  <c:v>0.0535840692268629</c:v>
                </c:pt>
                <c:pt idx="11">
                  <c:v>0.0749237371331724</c:v>
                </c:pt>
                <c:pt idx="12">
                  <c:v>0.102188611180998</c:v>
                </c:pt>
                <c:pt idx="13">
                  <c:v>0.13644627159852</c:v>
                </c:pt>
                <c:pt idx="14">
                  <c:v>0.178830218898286</c:v>
                </c:pt>
                <c:pt idx="15">
                  <c:v>0.230484607926731</c:v>
                </c:pt>
                <c:pt idx="16">
                  <c:v>0.29246476973138</c:v>
                </c:pt>
                <c:pt idx="17">
                  <c:v>0.365568602548529</c:v>
                </c:pt>
                <c:pt idx="18">
                  <c:v>0.450062006429722</c:v>
                </c:pt>
                <c:pt idx="19">
                  <c:v>0.545246371060746</c:v>
                </c:pt>
                <c:pt idx="20">
                  <c:v>0.64880208000746</c:v>
                </c:pt>
                <c:pt idx="21">
                  <c:v>0.755848681091164</c:v>
                </c:pt>
                <c:pt idx="22">
                  <c:v>0.857763386871004</c:v>
                </c:pt>
                <c:pt idx="23">
                  <c:v>0.941267660648081</c:v>
                </c:pt>
                <c:pt idx="24">
                  <c:v>0.990199305482612</c:v>
                </c:pt>
                <c:pt idx="25">
                  <c:v>1</c:v>
                </c:pt>
              </c:numCache>
            </c:numRef>
          </c:val>
          <c:smooth val="1"/>
        </c:ser>
        <c:hiLowLines>
          <c:spPr>
            <a:ln w="0">
              <a:noFill/>
            </a:ln>
          </c:spPr>
        </c:hiLowLines>
        <c:marker val="0"/>
        <c:axId val="75741769"/>
        <c:axId val="34423969"/>
      </c:lineChart>
      <c:catAx>
        <c:axId val="7574176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cosine similarity</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423969"/>
        <c:crosses val="autoZero"/>
        <c:auto val="1"/>
        <c:lblAlgn val="ctr"/>
        <c:lblOffset val="100"/>
        <c:noMultiLvlLbl val="0"/>
      </c:catAx>
      <c:valAx>
        <c:axId val="3442396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P(candidate)</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7417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26</xdr:row>
      <xdr:rowOff>131040</xdr:rowOff>
    </xdr:from>
    <xdr:to>
      <xdr:col>12</xdr:col>
      <xdr:colOff>307440</xdr:colOff>
      <xdr:row>43</xdr:row>
      <xdr:rowOff>131760</xdr:rowOff>
    </xdr:to>
    <xdr:graphicFrame>
      <xdr:nvGraphicFramePr>
        <xdr:cNvPr id="0" name="Chart 1"/>
        <xdr:cNvGraphicFramePr/>
      </xdr:nvGraphicFramePr>
      <xdr:xfrm>
        <a:off x="3876840" y="5141160"/>
        <a:ext cx="575928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8"/>
    <col collapsed="false" customWidth="true" hidden="false" outlineLevel="0" max="5" min="3" style="1" width="22"/>
    <col collapsed="false" customWidth="true" hidden="false" outlineLevel="0" max="7" min="6" style="1" width="10"/>
  </cols>
  <sheetData>
    <row r="2" customFormat="false" ht="19.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row>
    <row r="6" customFormat="false" ht="15" hidden="false" customHeight="true" outlineLevel="0" collapsed="false">
      <c r="B6" s="5" t="s">
        <v>3</v>
      </c>
      <c r="C6" s="5"/>
      <c r="D6" s="5"/>
      <c r="E6" s="5"/>
      <c r="F6" s="5"/>
    </row>
    <row r="7" customFormat="false" ht="15" hidden="false" customHeight="true" outlineLevel="0" collapsed="false">
      <c r="B7" s="5"/>
      <c r="C7" s="5"/>
      <c r="D7" s="5"/>
      <c r="E7" s="5"/>
      <c r="F7" s="5"/>
    </row>
    <row r="8" customFormat="false" ht="15" hidden="false" customHeight="true" outlineLevel="0" collapsed="false">
      <c r="B8" s="5"/>
      <c r="C8" s="5"/>
      <c r="D8" s="5"/>
      <c r="E8" s="5"/>
      <c r="F8" s="5"/>
    </row>
    <row r="9" customFormat="false" ht="15" hidden="false" customHeight="true" outlineLevel="0" collapsed="false">
      <c r="B9" s="5"/>
      <c r="C9" s="5"/>
      <c r="D9" s="5"/>
      <c r="E9" s="5"/>
      <c r="F9" s="5"/>
    </row>
    <row r="11" customFormat="false" ht="15" hidden="false" customHeight="true" outlineLevel="0" collapsed="false">
      <c r="B11" s="4" t="s">
        <v>4</v>
      </c>
    </row>
    <row r="12" customFormat="false" ht="15" hidden="false" customHeight="true" outlineLevel="0" collapsed="false">
      <c r="B12" s="6" t="s">
        <v>5</v>
      </c>
      <c r="C12" s="6" t="s">
        <v>6</v>
      </c>
      <c r="D12" s="6" t="s">
        <v>7</v>
      </c>
    </row>
    <row r="13" customFormat="false" ht="15" hidden="false" customHeight="true" outlineLevel="0" collapsed="false">
      <c r="B13" s="7" t="s">
        <v>8</v>
      </c>
      <c r="C13" s="7" t="s">
        <v>9</v>
      </c>
      <c r="D13" s="7" t="s">
        <v>10</v>
      </c>
    </row>
    <row r="14" customFormat="false" ht="15" hidden="false" customHeight="true" outlineLevel="0" collapsed="false">
      <c r="B14" s="7" t="s">
        <v>11</v>
      </c>
      <c r="C14" s="7" t="s">
        <v>12</v>
      </c>
      <c r="D14" s="7" t="s">
        <v>13</v>
      </c>
    </row>
    <row r="15" customFormat="false" ht="15" hidden="false" customHeight="true" outlineLevel="0" collapsed="false">
      <c r="B15" s="7" t="s">
        <v>14</v>
      </c>
      <c r="C15" s="7" t="s">
        <v>15</v>
      </c>
      <c r="D15" s="7" t="s">
        <v>16</v>
      </c>
    </row>
    <row r="16" customFormat="false" ht="15" hidden="false" customHeight="true" outlineLevel="0" collapsed="false">
      <c r="B16" s="7" t="s">
        <v>17</v>
      </c>
      <c r="C16" s="7" t="s">
        <v>18</v>
      </c>
      <c r="D16" s="7" t="s">
        <v>19</v>
      </c>
    </row>
    <row r="17" customFormat="false" ht="15" hidden="false" customHeight="true" outlineLevel="0" collapsed="false">
      <c r="B17" s="7" t="s">
        <v>20</v>
      </c>
      <c r="C17" s="7" t="s">
        <v>21</v>
      </c>
      <c r="D17" s="7" t="s">
        <v>22</v>
      </c>
    </row>
    <row r="18" customFormat="false" ht="15" hidden="false" customHeight="true" outlineLevel="0" collapsed="false">
      <c r="B18" s="7" t="s">
        <v>23</v>
      </c>
      <c r="C18" s="7" t="s">
        <v>24</v>
      </c>
      <c r="D18" s="7" t="s">
        <v>25</v>
      </c>
    </row>
    <row r="19" customFormat="false" ht="15" hidden="false" customHeight="true" outlineLevel="0" collapsed="false">
      <c r="B19" s="7" t="s">
        <v>26</v>
      </c>
      <c r="C19" s="7" t="s">
        <v>27</v>
      </c>
      <c r="D19" s="7" t="s">
        <v>28</v>
      </c>
    </row>
    <row r="21" customFormat="false" ht="15" hidden="false" customHeight="true" outlineLevel="0" collapsed="false">
      <c r="B21" s="4" t="s">
        <v>29</v>
      </c>
    </row>
    <row r="22" customFormat="false" ht="15" hidden="false" customHeight="true" outlineLevel="0" collapsed="false">
      <c r="B22" s="5" t="s">
        <v>30</v>
      </c>
      <c r="C22" s="5"/>
      <c r="D22" s="5"/>
      <c r="E22" s="5"/>
      <c r="F22" s="5"/>
    </row>
    <row r="23" customFormat="false" ht="15" hidden="false" customHeight="true" outlineLevel="0" collapsed="false">
      <c r="B23" s="5"/>
      <c r="C23" s="5"/>
      <c r="D23" s="5"/>
      <c r="E23" s="5"/>
      <c r="F23" s="5"/>
    </row>
    <row r="24" customFormat="false" ht="15" hidden="false" customHeight="true" outlineLevel="0" collapsed="false">
      <c r="B24" s="5"/>
      <c r="C24" s="5"/>
      <c r="D24" s="5"/>
      <c r="E24" s="5"/>
      <c r="F24" s="5"/>
    </row>
    <row r="25" customFormat="false" ht="15" hidden="false" customHeight="true" outlineLevel="0" collapsed="false">
      <c r="B25" s="5"/>
      <c r="C25" s="5"/>
      <c r="D25" s="5"/>
      <c r="E25" s="5"/>
      <c r="F25" s="5"/>
    </row>
    <row r="27" customFormat="false" ht="15" hidden="false" customHeight="true" outlineLevel="0" collapsed="false">
      <c r="B27" s="4" t="s">
        <v>31</v>
      </c>
    </row>
    <row r="28" customFormat="false" ht="15" hidden="false" customHeight="true" outlineLevel="0" collapsed="false">
      <c r="B28" s="8" t="s">
        <v>32</v>
      </c>
      <c r="C28" s="9" t="s">
        <v>33</v>
      </c>
      <c r="D28" s="9"/>
      <c r="E28" s="9"/>
      <c r="F28" s="9"/>
    </row>
    <row r="29" customFormat="false" ht="15" hidden="false" customHeight="true" outlineLevel="0" collapsed="false">
      <c r="B29" s="10" t="s">
        <v>34</v>
      </c>
      <c r="C29" s="9" t="s">
        <v>35</v>
      </c>
      <c r="D29" s="9"/>
      <c r="E29" s="9"/>
      <c r="F29" s="9"/>
    </row>
    <row r="30" customFormat="false" ht="15" hidden="false" customHeight="true" outlineLevel="0" collapsed="false">
      <c r="B30" s="11" t="s">
        <v>36</v>
      </c>
      <c r="C30" s="9" t="s">
        <v>37</v>
      </c>
      <c r="D30" s="9"/>
      <c r="E30" s="9"/>
      <c r="F30" s="9"/>
    </row>
  </sheetData>
  <mergeCells count="5">
    <mergeCell ref="B6:F9"/>
    <mergeCell ref="B22:F25"/>
    <mergeCell ref="C28:F28"/>
    <mergeCell ref="C29:F29"/>
    <mergeCell ref="C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4" min="3" style="1" width="20"/>
    <col collapsed="false" customWidth="true" hidden="false" outlineLevel="0" max="5" min="5" style="1" width="24"/>
    <col collapsed="false" customWidth="true" hidden="false" outlineLevel="0" max="6" min="6" style="1" width="6"/>
  </cols>
  <sheetData>
    <row r="2" customFormat="false" ht="19.5" hidden="false" customHeight="true" outlineLevel="0" collapsed="false">
      <c r="B2" s="2" t="s">
        <v>38</v>
      </c>
    </row>
    <row r="3" customFormat="false" ht="15" hidden="false" customHeight="true" outlineLevel="0" collapsed="false">
      <c r="B3" s="5" t="s">
        <v>39</v>
      </c>
      <c r="C3" s="5"/>
      <c r="D3" s="5"/>
      <c r="E3" s="5"/>
      <c r="F3" s="5"/>
    </row>
    <row r="4" customFormat="false" ht="15" hidden="false" customHeight="true" outlineLevel="0" collapsed="false">
      <c r="B4" s="5"/>
      <c r="C4" s="5"/>
      <c r="D4" s="5"/>
      <c r="E4" s="5"/>
      <c r="F4" s="5"/>
    </row>
    <row r="5" customFormat="false" ht="15" hidden="false" customHeight="true" outlineLevel="0" collapsed="false">
      <c r="B5" s="5"/>
      <c r="C5" s="5"/>
      <c r="D5" s="5"/>
      <c r="E5" s="5"/>
      <c r="F5" s="5"/>
    </row>
    <row r="6" customFormat="false" ht="15" hidden="false" customHeight="true" outlineLevel="0" collapsed="false">
      <c r="B6" s="5"/>
      <c r="C6" s="5"/>
      <c r="D6" s="5"/>
      <c r="E6" s="5"/>
      <c r="F6" s="5"/>
    </row>
    <row r="8" customFormat="false" ht="15" hidden="false" customHeight="true" outlineLevel="0" collapsed="false">
      <c r="B8" s="12" t="s">
        <v>40</v>
      </c>
      <c r="C8" s="12" t="s">
        <v>41</v>
      </c>
      <c r="D8" s="12" t="s">
        <v>42</v>
      </c>
      <c r="E8" s="12" t="s">
        <v>43</v>
      </c>
    </row>
    <row r="9" customFormat="false" ht="15" hidden="false" customHeight="true" outlineLevel="0" collapsed="false">
      <c r="B9" s="13" t="s">
        <v>44</v>
      </c>
      <c r="C9" s="14" t="n">
        <v>5</v>
      </c>
      <c r="D9" s="14" t="n">
        <v>2</v>
      </c>
      <c r="E9" s="14" t="n">
        <v>0</v>
      </c>
    </row>
    <row r="10" customFormat="false" ht="15" hidden="false" customHeight="true" outlineLevel="0" collapsed="false">
      <c r="B10" s="13" t="s">
        <v>45</v>
      </c>
      <c r="C10" s="14" t="n">
        <v>3</v>
      </c>
      <c r="D10" s="14" t="n">
        <v>4</v>
      </c>
      <c r="E10" s="14" t="n">
        <v>0</v>
      </c>
    </row>
    <row r="11" customFormat="false" ht="15" hidden="false" customHeight="true" outlineLevel="0" collapsed="false">
      <c r="B11" s="13" t="s">
        <v>46</v>
      </c>
      <c r="C11" s="14" t="n">
        <v>2</v>
      </c>
      <c r="D11" s="14" t="n">
        <v>3</v>
      </c>
      <c r="E11" s="14" t="n">
        <v>0</v>
      </c>
    </row>
    <row r="12" customFormat="false" ht="15" hidden="false" customHeight="true" outlineLevel="0" collapsed="false">
      <c r="B12" s="13" t="s">
        <v>47</v>
      </c>
      <c r="C12" s="14" t="n">
        <v>0</v>
      </c>
      <c r="D12" s="14" t="n">
        <v>0</v>
      </c>
      <c r="E12" s="14" t="n">
        <v>5</v>
      </c>
    </row>
    <row r="13" customFormat="false" ht="15" hidden="false" customHeight="true" outlineLevel="0" collapsed="false">
      <c r="B13" s="13" t="s">
        <v>48</v>
      </c>
      <c r="C13" s="14" t="n">
        <v>0</v>
      </c>
      <c r="D13" s="14" t="n">
        <v>0</v>
      </c>
      <c r="E13" s="14" t="n">
        <v>4</v>
      </c>
    </row>
    <row r="14" customFormat="false" ht="15" hidden="false" customHeight="true" outlineLevel="0" collapsed="false">
      <c r="B14" s="6" t="s">
        <v>49</v>
      </c>
      <c r="C14" s="15" t="n">
        <f aca="false">SQRT(SUMPRODUCT(C9:C13,C9:C13))</f>
        <v>6.16441400296898</v>
      </c>
      <c r="D14" s="15" t="n">
        <f aca="false">SQRT(SUMPRODUCT(D9:D13,D9:D13))</f>
        <v>5.3851648071345</v>
      </c>
      <c r="E14" s="15" t="n">
        <f aca="false">SQRT(SUMPRODUCT(E9:E13,E9:E13))</f>
        <v>6.40312423743285</v>
      </c>
    </row>
    <row r="16" customFormat="false" ht="15" hidden="false" customHeight="true" outlineLevel="0" collapsed="false">
      <c r="B16" s="16" t="s">
        <v>50</v>
      </c>
      <c r="C16" s="16"/>
      <c r="D16" s="16"/>
      <c r="E16" s="16"/>
      <c r="F16" s="16"/>
    </row>
    <row r="17" customFormat="false" ht="15" hidden="false" customHeight="true" outlineLevel="0" collapsed="false">
      <c r="B17" s="16"/>
      <c r="C17" s="16"/>
      <c r="D17" s="16"/>
      <c r="E17" s="16"/>
      <c r="F17" s="16"/>
    </row>
  </sheetData>
  <mergeCells count="2">
    <mergeCell ref="B3:F6"/>
    <mergeCell ref="B16: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3" min="3" style="1" width="14"/>
    <col collapsed="false" customWidth="true" hidden="false" outlineLevel="0" max="5" min="4" style="1" width="12"/>
    <col collapsed="false" customWidth="true" hidden="false" outlineLevel="0" max="6" min="6" style="1" width="14"/>
    <col collapsed="false" customWidth="true" hidden="false" outlineLevel="0" max="7" min="7" style="1" width="12"/>
  </cols>
  <sheetData>
    <row r="2" customFormat="false" ht="19.5" hidden="false" customHeight="true" outlineLevel="0" collapsed="false">
      <c r="B2" s="2" t="s">
        <v>51</v>
      </c>
    </row>
    <row r="3" customFormat="false" ht="15" hidden="false" customHeight="true" outlineLevel="0" collapsed="false">
      <c r="B3" s="5" t="s">
        <v>52</v>
      </c>
      <c r="C3" s="5"/>
      <c r="D3" s="5"/>
      <c r="E3" s="5"/>
      <c r="F3" s="5"/>
      <c r="G3" s="5"/>
    </row>
    <row r="4" customFormat="false" ht="15" hidden="false" customHeight="true" outlineLevel="0" collapsed="false">
      <c r="B4" s="5"/>
      <c r="C4" s="5"/>
      <c r="D4" s="5"/>
      <c r="E4" s="5"/>
      <c r="F4" s="5"/>
      <c r="G4" s="5"/>
    </row>
    <row r="5" customFormat="false" ht="15" hidden="false" customHeight="true" outlineLevel="0" collapsed="false">
      <c r="B5" s="5"/>
      <c r="C5" s="5"/>
      <c r="D5" s="5"/>
      <c r="E5" s="5"/>
      <c r="F5" s="5"/>
      <c r="G5" s="5"/>
    </row>
    <row r="7" customFormat="false" ht="23.25" hidden="false" customHeight="true" outlineLevel="0" collapsed="false">
      <c r="B7" s="12" t="s">
        <v>53</v>
      </c>
      <c r="C7" s="12" t="s">
        <v>54</v>
      </c>
      <c r="D7" s="12" t="s">
        <v>55</v>
      </c>
      <c r="E7" s="12" t="s">
        <v>56</v>
      </c>
      <c r="F7" s="12" t="s">
        <v>57</v>
      </c>
      <c r="G7" s="12" t="s">
        <v>58</v>
      </c>
    </row>
    <row r="8" customFormat="false" ht="15" hidden="false" customHeight="true" outlineLevel="0" collapsed="false">
      <c r="B8" s="17" t="s">
        <v>59</v>
      </c>
      <c r="C8" s="18" t="n">
        <f aca="false">SUMPRODUCT('1 The Vectors'!$C$9:$C$13,'1 The Vectors'!$D$9:$D$13)</f>
        <v>28</v>
      </c>
      <c r="D8" s="18" t="n">
        <f aca="false">SQRT(SUMPRODUCT('1 The Vectors'!$C$9:$C$13,'1 The Vectors'!$C$9:$C$13))</f>
        <v>6.16441400296898</v>
      </c>
      <c r="E8" s="18" t="n">
        <f aca="false">SQRT(SUMPRODUCT('1 The Vectors'!$D$9:$D$13,'1 The Vectors'!$D$9:$D$13))</f>
        <v>5.3851648071345</v>
      </c>
      <c r="F8" s="19" t="n">
        <f aca="false">C8/(D8*E8)</f>
        <v>0.843465326380289</v>
      </c>
      <c r="G8" s="20" t="n">
        <f aca="false">DEGREES(ACOS(MAX(-1,MIN(1,F8))))</f>
        <v>32.4921207803416</v>
      </c>
    </row>
    <row r="9" customFormat="false" ht="15" hidden="false" customHeight="true" outlineLevel="0" collapsed="false">
      <c r="B9" s="17" t="s">
        <v>60</v>
      </c>
      <c r="C9" s="18" t="n">
        <f aca="false">SUMPRODUCT('1 The Vectors'!$C$9:$C$13,'1 The Vectors'!$E$9:$E$13)</f>
        <v>0</v>
      </c>
      <c r="D9" s="18" t="n">
        <f aca="false">SQRT(SUMPRODUCT('1 The Vectors'!$C$9:$C$13,'1 The Vectors'!$C$9:$C$13))</f>
        <v>6.16441400296898</v>
      </c>
      <c r="E9" s="18" t="n">
        <f aca="false">SQRT(SUMPRODUCT('1 The Vectors'!$E$9:$E$13,'1 The Vectors'!$E$9:$E$13))</f>
        <v>6.40312423743285</v>
      </c>
      <c r="F9" s="19" t="n">
        <f aca="false">C9/(D9*E9)</f>
        <v>0</v>
      </c>
      <c r="G9" s="20" t="n">
        <f aca="false">DEGREES(ACOS(MAX(-1,MIN(1,F9))))</f>
        <v>90</v>
      </c>
    </row>
    <row r="10" customFormat="false" ht="15" hidden="false" customHeight="true" outlineLevel="0" collapsed="false">
      <c r="B10" s="17" t="s">
        <v>61</v>
      </c>
      <c r="C10" s="18" t="n">
        <f aca="false">SUMPRODUCT('1 The Vectors'!$D$9:$D$13,'1 The Vectors'!$E$9:$E$13)</f>
        <v>0</v>
      </c>
      <c r="D10" s="18" t="n">
        <f aca="false">SQRT(SUMPRODUCT('1 The Vectors'!$D$9:$D$13,'1 The Vectors'!$D$9:$D$13))</f>
        <v>5.3851648071345</v>
      </c>
      <c r="E10" s="18" t="n">
        <f aca="false">SQRT(SUMPRODUCT('1 The Vectors'!$E$9:$E$13,'1 The Vectors'!$E$9:$E$13))</f>
        <v>6.40312423743285</v>
      </c>
      <c r="F10" s="19" t="n">
        <f aca="false">C10/(D10*E10)</f>
        <v>0</v>
      </c>
      <c r="G10" s="20" t="n">
        <f aca="false">DEGREES(ACOS(MAX(-1,MIN(1,F10))))</f>
        <v>90</v>
      </c>
    </row>
    <row r="12" customFormat="false" ht="15" hidden="false" customHeight="true" outlineLevel="0" collapsed="false">
      <c r="B12" s="16" t="s">
        <v>62</v>
      </c>
      <c r="C12" s="16"/>
      <c r="D12" s="16"/>
      <c r="E12" s="16"/>
      <c r="F12" s="16"/>
      <c r="G12" s="16"/>
    </row>
    <row r="13" customFormat="false" ht="15" hidden="false" customHeight="true" outlineLevel="0" collapsed="false">
      <c r="B13" s="16"/>
      <c r="C13" s="16"/>
      <c r="D13" s="16"/>
      <c r="E13" s="16"/>
      <c r="F13" s="16"/>
      <c r="G13" s="16"/>
    </row>
  </sheetData>
  <mergeCells count="2">
    <mergeCell ref="B3:G5"/>
    <mergeCell ref="B12: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8"/>
    <col collapsed="false" customWidth="true" hidden="false" outlineLevel="0" max="6" min="3" style="1" width="14"/>
    <col collapsed="false" customWidth="true" hidden="false" outlineLevel="0" max="7" min="7" style="1" width="6"/>
  </cols>
  <sheetData>
    <row r="2" customFormat="false" ht="19.5" hidden="false" customHeight="true" outlineLevel="0" collapsed="false">
      <c r="B2" s="2" t="s">
        <v>63</v>
      </c>
    </row>
    <row r="3" customFormat="false" ht="15" hidden="false" customHeight="true" outlineLevel="0" collapsed="false">
      <c r="B3" s="5" t="s">
        <v>64</v>
      </c>
      <c r="C3" s="5"/>
      <c r="D3" s="5"/>
      <c r="E3" s="5"/>
      <c r="F3" s="5"/>
      <c r="G3" s="5"/>
    </row>
    <row r="4" customFormat="false" ht="15" hidden="false" customHeight="true" outlineLevel="0" collapsed="false">
      <c r="B4" s="5"/>
      <c r="C4" s="5"/>
      <c r="D4" s="5"/>
      <c r="E4" s="5"/>
      <c r="F4" s="5"/>
      <c r="G4" s="5"/>
    </row>
    <row r="5" customFormat="false" ht="15" hidden="false" customHeight="true" outlineLevel="0" collapsed="false">
      <c r="B5" s="5"/>
      <c r="C5" s="5"/>
      <c r="D5" s="5"/>
      <c r="E5" s="5"/>
      <c r="F5" s="5"/>
      <c r="G5" s="5"/>
    </row>
    <row r="6" customFormat="false" ht="15" hidden="false" customHeight="true" outlineLevel="0" collapsed="false">
      <c r="B6" s="5"/>
      <c r="C6" s="5"/>
      <c r="D6" s="5"/>
      <c r="E6" s="5"/>
      <c r="F6" s="5"/>
      <c r="G6" s="5"/>
    </row>
    <row r="8" customFormat="false" ht="15" hidden="false" customHeight="true" outlineLevel="0" collapsed="false">
      <c r="B8" s="21" t="s">
        <v>65</v>
      </c>
      <c r="C8" s="21"/>
      <c r="D8" s="21"/>
      <c r="E8" s="21"/>
      <c r="F8" s="21"/>
      <c r="G8" s="21"/>
    </row>
    <row r="9" customFormat="false" ht="15" hidden="false" customHeight="true" outlineLevel="0" collapsed="false">
      <c r="B9" s="12" t="s">
        <v>66</v>
      </c>
      <c r="C9" s="12" t="s">
        <v>67</v>
      </c>
      <c r="D9" s="12" t="s">
        <v>68</v>
      </c>
      <c r="E9" s="12" t="s">
        <v>69</v>
      </c>
      <c r="F9" s="12" t="s">
        <v>70</v>
      </c>
    </row>
    <row r="10" customFormat="false" ht="15" hidden="false" customHeight="true" outlineLevel="0" collapsed="false">
      <c r="B10" s="13" t="s">
        <v>44</v>
      </c>
      <c r="C10" s="22" t="n">
        <v>0.09</v>
      </c>
      <c r="D10" s="18" t="n">
        <f aca="false">'1 The Vectors'!$C$9*C10</f>
        <v>0.45</v>
      </c>
      <c r="E10" s="18" t="n">
        <f aca="false">'1 The Vectors'!$D$9*C10</f>
        <v>0.18</v>
      </c>
      <c r="F10" s="18" t="n">
        <f aca="false">'1 The Vectors'!$E$9*C10</f>
        <v>0</v>
      </c>
    </row>
    <row r="11" customFormat="false" ht="15" hidden="false" customHeight="true" outlineLevel="0" collapsed="false">
      <c r="B11" s="13" t="s">
        <v>45</v>
      </c>
      <c r="C11" s="22" t="n">
        <v>1.25</v>
      </c>
      <c r="D11" s="18" t="n">
        <f aca="false">'1 The Vectors'!$C$10*C11</f>
        <v>3.75</v>
      </c>
      <c r="E11" s="18" t="n">
        <f aca="false">'1 The Vectors'!$D$10*C11</f>
        <v>5</v>
      </c>
      <c r="F11" s="18" t="n">
        <f aca="false">'1 The Vectors'!$E$10*C11</f>
        <v>0</v>
      </c>
    </row>
    <row r="12" customFormat="false" ht="15" hidden="false" customHeight="true" outlineLevel="0" collapsed="false">
      <c r="B12" s="13" t="s">
        <v>46</v>
      </c>
      <c r="C12" s="22" t="n">
        <v>-0.93</v>
      </c>
      <c r="D12" s="18" t="n">
        <f aca="false">'1 The Vectors'!$C$11*C12</f>
        <v>-1.86</v>
      </c>
      <c r="E12" s="18" t="n">
        <f aca="false">'1 The Vectors'!$D$11*C12</f>
        <v>-2.79</v>
      </c>
      <c r="F12" s="18" t="n">
        <f aca="false">'1 The Vectors'!$E$11*C12</f>
        <v>-0</v>
      </c>
    </row>
    <row r="13" customFormat="false" ht="15" hidden="false" customHeight="true" outlineLevel="0" collapsed="false">
      <c r="B13" s="13" t="s">
        <v>47</v>
      </c>
      <c r="C13" s="22" t="n">
        <v>0.99</v>
      </c>
      <c r="D13" s="18" t="n">
        <f aca="false">'1 The Vectors'!$C$12*C13</f>
        <v>0</v>
      </c>
      <c r="E13" s="18" t="n">
        <f aca="false">'1 The Vectors'!$D$12*C13</f>
        <v>0</v>
      </c>
      <c r="F13" s="18" t="n">
        <f aca="false">'1 The Vectors'!$E$12*C13</f>
        <v>4.95</v>
      </c>
    </row>
    <row r="14" customFormat="false" ht="15" hidden="false" customHeight="true" outlineLevel="0" collapsed="false">
      <c r="B14" s="13" t="s">
        <v>48</v>
      </c>
      <c r="C14" s="22" t="n">
        <v>-0.26</v>
      </c>
      <c r="D14" s="18" t="n">
        <f aca="false">'1 The Vectors'!$C$13*C14</f>
        <v>-0</v>
      </c>
      <c r="E14" s="18" t="n">
        <f aca="false">'1 The Vectors'!$D$13*C14</f>
        <v>-0</v>
      </c>
      <c r="F14" s="18" t="n">
        <f aca="false">'1 The Vectors'!$E$13*C14</f>
        <v>-1.04</v>
      </c>
    </row>
    <row r="15" customFormat="false" ht="15" hidden="false" customHeight="true" outlineLevel="0" collapsed="false">
      <c r="B15" s="6" t="s">
        <v>71</v>
      </c>
      <c r="D15" s="23" t="n">
        <f aca="false">SUM(D10:D14)</f>
        <v>2.34</v>
      </c>
      <c r="E15" s="23" t="n">
        <f aca="false">SUM(E10:E14)</f>
        <v>2.39</v>
      </c>
      <c r="F15" s="23" t="n">
        <f aca="false">SUM(F10:F14)</f>
        <v>3.91</v>
      </c>
    </row>
    <row r="16" customFormat="false" ht="15" hidden="false" customHeight="true" outlineLevel="0" collapsed="false">
      <c r="B16" s="24" t="s">
        <v>72</v>
      </c>
      <c r="D16" s="17" t="n">
        <f aca="false">IF(D15&gt;=0,1,0)</f>
        <v>1</v>
      </c>
      <c r="E16" s="17" t="n">
        <f aca="false">IF(E15&gt;=0,1,0)</f>
        <v>1</v>
      </c>
      <c r="F16" s="17" t="n">
        <f aca="false">IF(F15&gt;=0,1,0)</f>
        <v>1</v>
      </c>
    </row>
    <row r="17" customFormat="false" ht="15" hidden="false" customHeight="true" outlineLevel="0" collapsed="false">
      <c r="B17" s="7" t="s">
        <v>73</v>
      </c>
      <c r="D17" s="25" t="str">
        <f aca="false">IF(D15&gt;=0,"+ side","- side")</f>
        <v>+ side</v>
      </c>
      <c r="E17" s="25" t="str">
        <f aca="false">IF(E15&gt;=0,"+ side","- side")</f>
        <v>+ side</v>
      </c>
      <c r="F17" s="25" t="str">
        <f aca="false">IF(F15&gt;=0,"+ side","- side")</f>
        <v>+ side</v>
      </c>
    </row>
    <row r="19" customFormat="false" ht="15" hidden="false" customHeight="true" outlineLevel="0" collapsed="false">
      <c r="B19" s="26" t="s">
        <v>74</v>
      </c>
      <c r="C19" s="26"/>
      <c r="D19" s="26"/>
      <c r="E19" s="26"/>
      <c r="F19" s="26"/>
      <c r="G19" s="26"/>
    </row>
    <row r="20" customFormat="false" ht="15" hidden="false" customHeight="true" outlineLevel="0" collapsed="false">
      <c r="B20" s="7" t="s">
        <v>59</v>
      </c>
      <c r="C20" s="7" t="str">
        <f aca="false">IF(D16=E16,"SAME SIDE (match)","different side")</f>
        <v>SAME SIDE (match)</v>
      </c>
      <c r="D20" s="7"/>
      <c r="E20" s="7"/>
    </row>
    <row r="21" customFormat="false" ht="15" hidden="false" customHeight="true" outlineLevel="0" collapsed="false">
      <c r="B21" s="7" t="s">
        <v>60</v>
      </c>
      <c r="C21" s="7" t="str">
        <f aca="false">IF(D16=F16,"same side","different side")</f>
        <v>same side</v>
      </c>
      <c r="D21" s="7"/>
      <c r="E21" s="7"/>
    </row>
    <row r="23" customFormat="false" ht="15" hidden="false" customHeight="true" outlineLevel="0" collapsed="false">
      <c r="B23" s="16" t="s">
        <v>75</v>
      </c>
      <c r="C23" s="16"/>
      <c r="D23" s="16"/>
      <c r="E23" s="16"/>
      <c r="F23" s="16"/>
      <c r="G23" s="16"/>
    </row>
    <row r="24" customFormat="false" ht="15" hidden="false" customHeight="true" outlineLevel="0" collapsed="false">
      <c r="B24" s="16"/>
      <c r="C24" s="16"/>
      <c r="D24" s="16"/>
      <c r="E24" s="16"/>
      <c r="F24" s="16"/>
      <c r="G24" s="16"/>
    </row>
  </sheetData>
  <mergeCells count="6">
    <mergeCell ref="B3:G6"/>
    <mergeCell ref="B8:G8"/>
    <mergeCell ref="B19:G19"/>
    <mergeCell ref="C20:E20"/>
    <mergeCell ref="C21:E21"/>
    <mergeCell ref="B23:G24"/>
  </mergeCells>
  <conditionalFormatting sqref="C20:E20">
    <cfRule type="expression" priority="2" aboveAverage="0" equalAverage="0" bottom="0" percent="0" rank="0" text="" dxfId="0">
      <formula>ISNUMBER(SEARCH("SAME",C20))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
    <col collapsed="false" customWidth="true" hidden="false" outlineLevel="0" max="7" min="3" style="1" width="7"/>
    <col collapsed="false" customWidth="true" hidden="false" outlineLevel="0" max="10" min="8" style="1" width="9"/>
    <col collapsed="false" customWidth="true" hidden="false" outlineLevel="0" max="13" min="11" style="1" width="7"/>
    <col collapsed="false" customWidth="true" hidden="false" outlineLevel="0" max="16" min="14" style="1" width="9"/>
  </cols>
  <sheetData>
    <row r="2" customFormat="false" ht="19.5" hidden="false" customHeight="true" outlineLevel="0" collapsed="false">
      <c r="B2" s="2" t="s">
        <v>76</v>
      </c>
    </row>
    <row r="3" customFormat="false" ht="15" hidden="false" customHeight="true" outlineLevel="0" collapsed="false">
      <c r="B3" s="5" t="s">
        <v>77</v>
      </c>
      <c r="C3" s="5"/>
      <c r="D3" s="5"/>
      <c r="E3" s="5"/>
      <c r="F3" s="5"/>
      <c r="G3" s="5"/>
      <c r="H3" s="5"/>
      <c r="I3" s="5"/>
      <c r="J3" s="5"/>
      <c r="K3" s="5"/>
      <c r="L3" s="5"/>
      <c r="M3" s="5"/>
      <c r="N3" s="5"/>
      <c r="O3" s="5"/>
      <c r="P3" s="5"/>
    </row>
    <row r="4" customFormat="false" ht="15" hidden="false" customHeight="true" outlineLevel="0" collapsed="false">
      <c r="B4" s="5"/>
      <c r="C4" s="5"/>
      <c r="D4" s="5"/>
      <c r="E4" s="5"/>
      <c r="F4" s="5"/>
      <c r="G4" s="5"/>
      <c r="H4" s="5"/>
      <c r="I4" s="5"/>
      <c r="J4" s="5"/>
      <c r="K4" s="5"/>
      <c r="L4" s="5"/>
      <c r="M4" s="5"/>
      <c r="N4" s="5"/>
      <c r="O4" s="5"/>
      <c r="P4" s="5"/>
    </row>
    <row r="5" customFormat="false" ht="15" hidden="false" customHeight="true" outlineLevel="0" collapsed="false">
      <c r="B5" s="5"/>
      <c r="C5" s="5"/>
      <c r="D5" s="5"/>
      <c r="E5" s="5"/>
      <c r="F5" s="5"/>
      <c r="G5" s="5"/>
      <c r="H5" s="5"/>
      <c r="I5" s="5"/>
      <c r="J5" s="5"/>
      <c r="K5" s="5"/>
      <c r="L5" s="5"/>
      <c r="M5" s="5"/>
      <c r="N5" s="5"/>
      <c r="O5" s="5"/>
      <c r="P5" s="5"/>
    </row>
    <row r="7" customFormat="false" ht="15" hidden="false" customHeight="true" outlineLevel="0" collapsed="false">
      <c r="B7" s="21" t="s">
        <v>78</v>
      </c>
      <c r="C7" s="21"/>
      <c r="D7" s="21"/>
      <c r="E7" s="21"/>
      <c r="F7" s="21"/>
      <c r="G7" s="21"/>
      <c r="H7" s="21"/>
      <c r="I7" s="21"/>
      <c r="J7" s="21"/>
      <c r="K7" s="21"/>
      <c r="L7" s="21"/>
      <c r="M7" s="21"/>
      <c r="N7" s="21"/>
      <c r="O7" s="21"/>
      <c r="P7" s="21"/>
    </row>
    <row r="8" customFormat="false" ht="15" hidden="false" customHeight="true" outlineLevel="0" collapsed="false">
      <c r="B8" s="12" t="s">
        <v>79</v>
      </c>
      <c r="C8" s="12" t="s">
        <v>80</v>
      </c>
      <c r="D8" s="12" t="s">
        <v>81</v>
      </c>
      <c r="E8" s="12" t="s">
        <v>82</v>
      </c>
      <c r="F8" s="12" t="s">
        <v>83</v>
      </c>
      <c r="G8" s="12" t="s">
        <v>84</v>
      </c>
      <c r="H8" s="12" t="s">
        <v>85</v>
      </c>
      <c r="I8" s="12" t="s">
        <v>86</v>
      </c>
      <c r="J8" s="12" t="s">
        <v>87</v>
      </c>
      <c r="K8" s="12" t="s">
        <v>88</v>
      </c>
      <c r="L8" s="12" t="s">
        <v>89</v>
      </c>
      <c r="M8" s="12" t="s">
        <v>90</v>
      </c>
      <c r="N8" s="12" t="s">
        <v>91</v>
      </c>
      <c r="O8" s="12" t="s">
        <v>92</v>
      </c>
      <c r="P8" s="12" t="s">
        <v>93</v>
      </c>
    </row>
    <row r="9" customFormat="false" ht="15" hidden="false" customHeight="true" outlineLevel="0" collapsed="false">
      <c r="B9" s="13" t="n">
        <v>1</v>
      </c>
      <c r="C9" s="27" t="n">
        <v>0.09</v>
      </c>
      <c r="D9" s="27" t="n">
        <v>1.25</v>
      </c>
      <c r="E9" s="27" t="n">
        <v>-0.93</v>
      </c>
      <c r="F9" s="27" t="n">
        <v>0.99</v>
      </c>
      <c r="G9" s="27" t="n">
        <v>-0.26</v>
      </c>
      <c r="H9" s="20" t="n">
        <f aca="false">'1 The Vectors'!$C$9*C9+'1 The Vectors'!$C$10*D9+'1 The Vectors'!$C$11*E9+'1 The Vectors'!$C$12*F9+'1 The Vectors'!$C$13*G9</f>
        <v>2.34</v>
      </c>
      <c r="I9" s="20" t="n">
        <f aca="false">'1 The Vectors'!$D$9*C9+'1 The Vectors'!$D$10*D9+'1 The Vectors'!$D$11*E9+'1 The Vectors'!$D$12*F9+'1 The Vectors'!$D$13*G9</f>
        <v>2.39</v>
      </c>
      <c r="J9" s="20" t="n">
        <f aca="false">'1 The Vectors'!$E$9*C9+'1 The Vectors'!$E$10*D9+'1 The Vectors'!$E$11*E9+'1 The Vectors'!$E$12*F9+'1 The Vectors'!$E$13*G9</f>
        <v>3.91</v>
      </c>
      <c r="K9" s="13" t="n">
        <f aca="false">IF(H9&gt;=0,1,0)</f>
        <v>1</v>
      </c>
      <c r="L9" s="13" t="n">
        <f aca="false">IF(I9&gt;=0,1,0)</f>
        <v>1</v>
      </c>
      <c r="M9" s="13" t="n">
        <f aca="false">IF(J9&gt;=0,1,0)</f>
        <v>1</v>
      </c>
      <c r="N9" s="28" t="n">
        <f aca="false">IF(K9=L9,1,0)</f>
        <v>1</v>
      </c>
      <c r="O9" s="28" t="n">
        <f aca="false">IF(K9=M9,1,0)</f>
        <v>1</v>
      </c>
      <c r="P9" s="28" t="n">
        <f aca="false">IF(L9=M9,1,0)</f>
        <v>1</v>
      </c>
    </row>
    <row r="10" customFormat="false" ht="15" hidden="false" customHeight="true" outlineLevel="0" collapsed="false">
      <c r="B10" s="13" t="n">
        <v>2</v>
      </c>
      <c r="C10" s="27" t="n">
        <v>-0.26</v>
      </c>
      <c r="D10" s="27" t="n">
        <v>1.9</v>
      </c>
      <c r="E10" s="27" t="n">
        <v>0.16</v>
      </c>
      <c r="F10" s="27" t="n">
        <v>-0.04</v>
      </c>
      <c r="G10" s="27" t="n">
        <v>0.73</v>
      </c>
      <c r="H10" s="20" t="n">
        <f aca="false">'1 The Vectors'!$C$9*C10+'1 The Vectors'!$C$10*D10+'1 The Vectors'!$C$11*E10+'1 The Vectors'!$C$12*F10+'1 The Vectors'!$C$13*G10</f>
        <v>4.72</v>
      </c>
      <c r="I10" s="20" t="n">
        <f aca="false">'1 The Vectors'!$D$9*C10+'1 The Vectors'!$D$10*D10+'1 The Vectors'!$D$11*E10+'1 The Vectors'!$D$12*F10+'1 The Vectors'!$D$13*G10</f>
        <v>7.56</v>
      </c>
      <c r="J10" s="20" t="n">
        <f aca="false">'1 The Vectors'!$E$9*C10+'1 The Vectors'!$E$10*D10+'1 The Vectors'!$E$11*E10+'1 The Vectors'!$E$12*F10+'1 The Vectors'!$E$13*G10</f>
        <v>2.72</v>
      </c>
      <c r="K10" s="13" t="n">
        <f aca="false">IF(H10&gt;=0,1,0)</f>
        <v>1</v>
      </c>
      <c r="L10" s="13" t="n">
        <f aca="false">IF(I10&gt;=0,1,0)</f>
        <v>1</v>
      </c>
      <c r="M10" s="13" t="n">
        <f aca="false">IF(J10&gt;=0,1,0)</f>
        <v>1</v>
      </c>
      <c r="N10" s="28" t="n">
        <f aca="false">IF(K10=L10,1,0)</f>
        <v>1</v>
      </c>
      <c r="O10" s="28" t="n">
        <f aca="false">IF(K10=M10,1,0)</f>
        <v>1</v>
      </c>
      <c r="P10" s="28" t="n">
        <f aca="false">IF(L10=M10,1,0)</f>
        <v>1</v>
      </c>
    </row>
    <row r="11" customFormat="false" ht="15" hidden="false" customHeight="true" outlineLevel="0" collapsed="false">
      <c r="B11" s="13" t="n">
        <v>3</v>
      </c>
      <c r="C11" s="27" t="n">
        <v>1.13</v>
      </c>
      <c r="D11" s="27" t="n">
        <v>-0.03</v>
      </c>
      <c r="E11" s="27" t="n">
        <v>0.59</v>
      </c>
      <c r="F11" s="27" t="n">
        <v>-0.97</v>
      </c>
      <c r="G11" s="27" t="n">
        <v>-0.37</v>
      </c>
      <c r="H11" s="20" t="n">
        <f aca="false">'1 The Vectors'!$C$9*C11+'1 The Vectors'!$C$10*D11+'1 The Vectors'!$C$11*E11+'1 The Vectors'!$C$12*F11+'1 The Vectors'!$C$13*G11</f>
        <v>6.74</v>
      </c>
      <c r="I11" s="20" t="n">
        <f aca="false">'1 The Vectors'!$D$9*C11+'1 The Vectors'!$D$10*D11+'1 The Vectors'!$D$11*E11+'1 The Vectors'!$D$12*F11+'1 The Vectors'!$D$13*G11</f>
        <v>3.91</v>
      </c>
      <c r="J11" s="20" t="n">
        <f aca="false">'1 The Vectors'!$E$9*C11+'1 The Vectors'!$E$10*D11+'1 The Vectors'!$E$11*E11+'1 The Vectors'!$E$12*F11+'1 The Vectors'!$E$13*G11</f>
        <v>-6.33</v>
      </c>
      <c r="K11" s="13" t="n">
        <f aca="false">IF(H11&gt;=0,1,0)</f>
        <v>1</v>
      </c>
      <c r="L11" s="13" t="n">
        <f aca="false">IF(I11&gt;=0,1,0)</f>
        <v>1</v>
      </c>
      <c r="M11" s="13" t="n">
        <f aca="false">IF(J11&gt;=0,1,0)</f>
        <v>0</v>
      </c>
      <c r="N11" s="28" t="n">
        <f aca="false">IF(K11=L11,1,0)</f>
        <v>1</v>
      </c>
      <c r="O11" s="28" t="n">
        <f aca="false">IF(K11=M11,1,0)</f>
        <v>0</v>
      </c>
      <c r="P11" s="28" t="n">
        <f aca="false">IF(L11=M11,1,0)</f>
        <v>0</v>
      </c>
    </row>
    <row r="12" customFormat="false" ht="15" hidden="false" customHeight="true" outlineLevel="0" collapsed="false">
      <c r="B12" s="13" t="n">
        <v>4</v>
      </c>
      <c r="C12" s="27" t="n">
        <v>-0.44</v>
      </c>
      <c r="D12" s="27" t="n">
        <v>-1.33</v>
      </c>
      <c r="E12" s="27" t="n">
        <v>-1.51</v>
      </c>
      <c r="F12" s="27" t="n">
        <v>-1.63</v>
      </c>
      <c r="G12" s="27" t="n">
        <v>-0.24</v>
      </c>
      <c r="H12" s="20" t="n">
        <f aca="false">'1 The Vectors'!$C$9*C12+'1 The Vectors'!$C$10*D12+'1 The Vectors'!$C$11*E12+'1 The Vectors'!$C$12*F12+'1 The Vectors'!$C$13*G12</f>
        <v>-9.21</v>
      </c>
      <c r="I12" s="20" t="n">
        <f aca="false">'1 The Vectors'!$D$9*C12+'1 The Vectors'!$D$10*D12+'1 The Vectors'!$D$11*E12+'1 The Vectors'!$D$12*F12+'1 The Vectors'!$D$13*G12</f>
        <v>-10.73</v>
      </c>
      <c r="J12" s="20" t="n">
        <f aca="false">'1 The Vectors'!$E$9*C12+'1 The Vectors'!$E$10*D12+'1 The Vectors'!$E$11*E12+'1 The Vectors'!$E$12*F12+'1 The Vectors'!$E$13*G12</f>
        <v>-9.11</v>
      </c>
      <c r="K12" s="13" t="n">
        <f aca="false">IF(H12&gt;=0,1,0)</f>
        <v>0</v>
      </c>
      <c r="L12" s="13" t="n">
        <f aca="false">IF(I12&gt;=0,1,0)</f>
        <v>0</v>
      </c>
      <c r="M12" s="13" t="n">
        <f aca="false">IF(J12&gt;=0,1,0)</f>
        <v>0</v>
      </c>
      <c r="N12" s="28" t="n">
        <f aca="false">IF(K12=L12,1,0)</f>
        <v>1</v>
      </c>
      <c r="O12" s="28" t="n">
        <f aca="false">IF(K12=M12,1,0)</f>
        <v>1</v>
      </c>
      <c r="P12" s="28" t="n">
        <f aca="false">IF(L12=M12,1,0)</f>
        <v>1</v>
      </c>
    </row>
    <row r="13" customFormat="false" ht="15" hidden="false" customHeight="true" outlineLevel="0" collapsed="false">
      <c r="B13" s="13" t="n">
        <v>5</v>
      </c>
      <c r="C13" s="27" t="n">
        <v>-0.17</v>
      </c>
      <c r="D13" s="27" t="n">
        <v>-0.32</v>
      </c>
      <c r="E13" s="27" t="n">
        <v>0.07</v>
      </c>
      <c r="F13" s="27" t="n">
        <v>-1.34</v>
      </c>
      <c r="G13" s="27" t="n">
        <v>-0.08</v>
      </c>
      <c r="H13" s="20" t="n">
        <f aca="false">'1 The Vectors'!$C$9*C13+'1 The Vectors'!$C$10*D13+'1 The Vectors'!$C$11*E13+'1 The Vectors'!$C$12*F13+'1 The Vectors'!$C$13*G13</f>
        <v>-1.67</v>
      </c>
      <c r="I13" s="20" t="n">
        <f aca="false">'1 The Vectors'!$D$9*C13+'1 The Vectors'!$D$10*D13+'1 The Vectors'!$D$11*E13+'1 The Vectors'!$D$12*F13+'1 The Vectors'!$D$13*G13</f>
        <v>-1.41</v>
      </c>
      <c r="J13" s="20" t="n">
        <f aca="false">'1 The Vectors'!$E$9*C13+'1 The Vectors'!$E$10*D13+'1 The Vectors'!$E$11*E13+'1 The Vectors'!$E$12*F13+'1 The Vectors'!$E$13*G13</f>
        <v>-7.02</v>
      </c>
      <c r="K13" s="13" t="n">
        <f aca="false">IF(H13&gt;=0,1,0)</f>
        <v>0</v>
      </c>
      <c r="L13" s="13" t="n">
        <f aca="false">IF(I13&gt;=0,1,0)</f>
        <v>0</v>
      </c>
      <c r="M13" s="13" t="n">
        <f aca="false">IF(J13&gt;=0,1,0)</f>
        <v>0</v>
      </c>
      <c r="N13" s="28" t="n">
        <f aca="false">IF(K13=L13,1,0)</f>
        <v>1</v>
      </c>
      <c r="O13" s="28" t="n">
        <f aca="false">IF(K13=M13,1,0)</f>
        <v>1</v>
      </c>
      <c r="P13" s="28" t="n">
        <f aca="false">IF(L13=M13,1,0)</f>
        <v>1</v>
      </c>
    </row>
    <row r="14" customFormat="false" ht="15" hidden="false" customHeight="true" outlineLevel="0" collapsed="false">
      <c r="B14" s="13" t="n">
        <v>6</v>
      </c>
      <c r="C14" s="27" t="n">
        <v>0.24</v>
      </c>
      <c r="D14" s="27" t="n">
        <v>0.75</v>
      </c>
      <c r="E14" s="27" t="n">
        <v>-0.85</v>
      </c>
      <c r="F14" s="27" t="n">
        <v>-0.4</v>
      </c>
      <c r="G14" s="27" t="n">
        <v>-2.02</v>
      </c>
      <c r="H14" s="20" t="n">
        <f aca="false">'1 The Vectors'!$C$9*C14+'1 The Vectors'!$C$10*D14+'1 The Vectors'!$C$11*E14+'1 The Vectors'!$C$12*F14+'1 The Vectors'!$C$13*G14</f>
        <v>1.75</v>
      </c>
      <c r="I14" s="20" t="n">
        <f aca="false">'1 The Vectors'!$D$9*C14+'1 The Vectors'!$D$10*D14+'1 The Vectors'!$D$11*E14+'1 The Vectors'!$D$12*F14+'1 The Vectors'!$D$13*G14</f>
        <v>0.93</v>
      </c>
      <c r="J14" s="20" t="n">
        <f aca="false">'1 The Vectors'!$E$9*C14+'1 The Vectors'!$E$10*D14+'1 The Vectors'!$E$11*E14+'1 The Vectors'!$E$12*F14+'1 The Vectors'!$E$13*G14</f>
        <v>-10.08</v>
      </c>
      <c r="K14" s="13" t="n">
        <f aca="false">IF(H14&gt;=0,1,0)</f>
        <v>1</v>
      </c>
      <c r="L14" s="13" t="n">
        <f aca="false">IF(I14&gt;=0,1,0)</f>
        <v>1</v>
      </c>
      <c r="M14" s="13" t="n">
        <f aca="false">IF(J14&gt;=0,1,0)</f>
        <v>0</v>
      </c>
      <c r="N14" s="28" t="n">
        <f aca="false">IF(K14=L14,1,0)</f>
        <v>1</v>
      </c>
      <c r="O14" s="28" t="n">
        <f aca="false">IF(K14=M14,1,0)</f>
        <v>0</v>
      </c>
      <c r="P14" s="28" t="n">
        <f aca="false">IF(L14=M14,1,0)</f>
        <v>0</v>
      </c>
    </row>
    <row r="15" customFormat="false" ht="15" hidden="false" customHeight="true" outlineLevel="0" collapsed="false">
      <c r="B15" s="13" t="n">
        <v>7</v>
      </c>
      <c r="C15" s="27" t="n">
        <v>-0.5</v>
      </c>
      <c r="D15" s="27" t="n">
        <v>-2.2</v>
      </c>
      <c r="E15" s="27" t="n">
        <v>-1.42</v>
      </c>
      <c r="F15" s="27" t="n">
        <v>1.1</v>
      </c>
      <c r="G15" s="27" t="n">
        <v>-2.2</v>
      </c>
      <c r="H15" s="20" t="n">
        <f aca="false">'1 The Vectors'!$C$9*C15+'1 The Vectors'!$C$10*D15+'1 The Vectors'!$C$11*E15+'1 The Vectors'!$C$12*F15+'1 The Vectors'!$C$13*G15</f>
        <v>-11.94</v>
      </c>
      <c r="I15" s="20" t="n">
        <f aca="false">'1 The Vectors'!$D$9*C15+'1 The Vectors'!$D$10*D15+'1 The Vectors'!$D$11*E15+'1 The Vectors'!$D$12*F15+'1 The Vectors'!$D$13*G15</f>
        <v>-14.06</v>
      </c>
      <c r="J15" s="20" t="n">
        <f aca="false">'1 The Vectors'!$E$9*C15+'1 The Vectors'!$E$10*D15+'1 The Vectors'!$E$11*E15+'1 The Vectors'!$E$12*F15+'1 The Vectors'!$E$13*G15</f>
        <v>-3.3</v>
      </c>
      <c r="K15" s="13" t="n">
        <f aca="false">IF(H15&gt;=0,1,0)</f>
        <v>0</v>
      </c>
      <c r="L15" s="13" t="n">
        <f aca="false">IF(I15&gt;=0,1,0)</f>
        <v>0</v>
      </c>
      <c r="M15" s="13" t="n">
        <f aca="false">IF(J15&gt;=0,1,0)</f>
        <v>0</v>
      </c>
      <c r="N15" s="28" t="n">
        <f aca="false">IF(K15=L15,1,0)</f>
        <v>1</v>
      </c>
      <c r="O15" s="28" t="n">
        <f aca="false">IF(K15=M15,1,0)</f>
        <v>1</v>
      </c>
      <c r="P15" s="28" t="n">
        <f aca="false">IF(L15=M15,1,0)</f>
        <v>1</v>
      </c>
    </row>
    <row r="16" customFormat="false" ht="15" hidden="false" customHeight="true" outlineLevel="0" collapsed="false">
      <c r="B16" s="13" t="n">
        <v>8</v>
      </c>
      <c r="C16" s="27" t="n">
        <v>0.8</v>
      </c>
      <c r="D16" s="27" t="n">
        <v>0.33</v>
      </c>
      <c r="E16" s="27" t="n">
        <v>-0.31</v>
      </c>
      <c r="F16" s="27" t="n">
        <v>0.46</v>
      </c>
      <c r="G16" s="27" t="n">
        <v>0.53</v>
      </c>
      <c r="H16" s="20" t="n">
        <f aca="false">'1 The Vectors'!$C$9*C16+'1 The Vectors'!$C$10*D16+'1 The Vectors'!$C$11*E16+'1 The Vectors'!$C$12*F16+'1 The Vectors'!$C$13*G16</f>
        <v>4.37</v>
      </c>
      <c r="I16" s="20" t="n">
        <f aca="false">'1 The Vectors'!$D$9*C16+'1 The Vectors'!$D$10*D16+'1 The Vectors'!$D$11*E16+'1 The Vectors'!$D$12*F16+'1 The Vectors'!$D$13*G16</f>
        <v>1.99</v>
      </c>
      <c r="J16" s="20" t="n">
        <f aca="false">'1 The Vectors'!$E$9*C16+'1 The Vectors'!$E$10*D16+'1 The Vectors'!$E$11*E16+'1 The Vectors'!$E$12*F16+'1 The Vectors'!$E$13*G16</f>
        <v>4.42</v>
      </c>
      <c r="K16" s="13" t="n">
        <f aca="false">IF(H16&gt;=0,1,0)</f>
        <v>1</v>
      </c>
      <c r="L16" s="13" t="n">
        <f aca="false">IF(I16&gt;=0,1,0)</f>
        <v>1</v>
      </c>
      <c r="M16" s="13" t="n">
        <f aca="false">IF(J16&gt;=0,1,0)</f>
        <v>1</v>
      </c>
      <c r="N16" s="28" t="n">
        <f aca="false">IF(K16=L16,1,0)</f>
        <v>1</v>
      </c>
      <c r="O16" s="28" t="n">
        <f aca="false">IF(K16=M16,1,0)</f>
        <v>1</v>
      </c>
      <c r="P16" s="28" t="n">
        <f aca="false">IF(L16=M16,1,0)</f>
        <v>1</v>
      </c>
    </row>
    <row r="17" customFormat="false" ht="15" hidden="false" customHeight="true" outlineLevel="0" collapsed="false">
      <c r="B17" s="13" t="n">
        <v>9</v>
      </c>
      <c r="C17" s="27" t="n">
        <v>1.05</v>
      </c>
      <c r="D17" s="27" t="n">
        <v>-0.23</v>
      </c>
      <c r="E17" s="27" t="n">
        <v>-0.59</v>
      </c>
      <c r="F17" s="27" t="n">
        <v>-0.6</v>
      </c>
      <c r="G17" s="27" t="n">
        <v>-0.99</v>
      </c>
      <c r="H17" s="20" t="n">
        <f aca="false">'1 The Vectors'!$C$9*C17+'1 The Vectors'!$C$10*D17+'1 The Vectors'!$C$11*E17+'1 The Vectors'!$C$12*F17+'1 The Vectors'!$C$13*G17</f>
        <v>3.38</v>
      </c>
      <c r="I17" s="20" t="n">
        <f aca="false">'1 The Vectors'!$D$9*C17+'1 The Vectors'!$D$10*D17+'1 The Vectors'!$D$11*E17+'1 The Vectors'!$D$12*F17+'1 The Vectors'!$D$13*G17</f>
        <v>-0.59</v>
      </c>
      <c r="J17" s="20" t="n">
        <f aca="false">'1 The Vectors'!$E$9*C17+'1 The Vectors'!$E$10*D17+'1 The Vectors'!$E$11*E17+'1 The Vectors'!$E$12*F17+'1 The Vectors'!$E$13*G17</f>
        <v>-6.96</v>
      </c>
      <c r="K17" s="13" t="n">
        <f aca="false">IF(H17&gt;=0,1,0)</f>
        <v>1</v>
      </c>
      <c r="L17" s="13" t="n">
        <f aca="false">IF(I17&gt;=0,1,0)</f>
        <v>0</v>
      </c>
      <c r="M17" s="13" t="n">
        <f aca="false">IF(J17&gt;=0,1,0)</f>
        <v>0</v>
      </c>
      <c r="N17" s="28" t="n">
        <f aca="false">IF(K17=L17,1,0)</f>
        <v>0</v>
      </c>
      <c r="O17" s="28" t="n">
        <f aca="false">IF(K17=M17,1,0)</f>
        <v>0</v>
      </c>
      <c r="P17" s="28" t="n">
        <f aca="false">IF(L17=M17,1,0)</f>
        <v>1</v>
      </c>
    </row>
    <row r="18" customFormat="false" ht="15" hidden="false" customHeight="true" outlineLevel="0" collapsed="false">
      <c r="B18" s="13" t="n">
        <v>10</v>
      </c>
      <c r="C18" s="27" t="n">
        <v>-0.04</v>
      </c>
      <c r="D18" s="27" t="n">
        <v>-0.79</v>
      </c>
      <c r="E18" s="27" t="n">
        <v>1.07</v>
      </c>
      <c r="F18" s="27" t="n">
        <v>-1.87</v>
      </c>
      <c r="G18" s="27" t="n">
        <v>-1.09</v>
      </c>
      <c r="H18" s="20" t="n">
        <f aca="false">'1 The Vectors'!$C$9*C18+'1 The Vectors'!$C$10*D18+'1 The Vectors'!$C$11*E18+'1 The Vectors'!$C$12*F18+'1 The Vectors'!$C$13*G18</f>
        <v>-0.43</v>
      </c>
      <c r="I18" s="20" t="n">
        <f aca="false">'1 The Vectors'!$D$9*C18+'1 The Vectors'!$D$10*D18+'1 The Vectors'!$D$11*E18+'1 The Vectors'!$D$12*F18+'1 The Vectors'!$D$13*G18</f>
        <v>-0.0300000000000003</v>
      </c>
      <c r="J18" s="20" t="n">
        <f aca="false">'1 The Vectors'!$E$9*C18+'1 The Vectors'!$E$10*D18+'1 The Vectors'!$E$11*E18+'1 The Vectors'!$E$12*F18+'1 The Vectors'!$E$13*G18</f>
        <v>-13.71</v>
      </c>
      <c r="K18" s="13" t="n">
        <f aca="false">IF(H18&gt;=0,1,0)</f>
        <v>0</v>
      </c>
      <c r="L18" s="13" t="n">
        <f aca="false">IF(I18&gt;=0,1,0)</f>
        <v>0</v>
      </c>
      <c r="M18" s="13" t="n">
        <f aca="false">IF(J18&gt;=0,1,0)</f>
        <v>0</v>
      </c>
      <c r="N18" s="28" t="n">
        <f aca="false">IF(K18=L18,1,0)</f>
        <v>1</v>
      </c>
      <c r="O18" s="28" t="n">
        <f aca="false">IF(K18=M18,1,0)</f>
        <v>1</v>
      </c>
      <c r="P18" s="28" t="n">
        <f aca="false">IF(L18=M18,1,0)</f>
        <v>1</v>
      </c>
    </row>
    <row r="19" customFormat="false" ht="15" hidden="false" customHeight="true" outlineLevel="0" collapsed="false">
      <c r="B19" s="13" t="n">
        <v>11</v>
      </c>
      <c r="C19" s="27" t="n">
        <v>-0.95</v>
      </c>
      <c r="D19" s="27" t="n">
        <v>-2.09</v>
      </c>
      <c r="E19" s="27" t="n">
        <v>1.9</v>
      </c>
      <c r="F19" s="27" t="n">
        <v>-2.41</v>
      </c>
      <c r="G19" s="27" t="n">
        <v>-0.28</v>
      </c>
      <c r="H19" s="20" t="n">
        <f aca="false">'1 The Vectors'!$C$9*C19+'1 The Vectors'!$C$10*D19+'1 The Vectors'!$C$11*E19+'1 The Vectors'!$C$12*F19+'1 The Vectors'!$C$13*G19</f>
        <v>-7.22</v>
      </c>
      <c r="I19" s="20" t="n">
        <f aca="false">'1 The Vectors'!$D$9*C19+'1 The Vectors'!$D$10*D19+'1 The Vectors'!$D$11*E19+'1 The Vectors'!$D$12*F19+'1 The Vectors'!$D$13*G19</f>
        <v>-4.56</v>
      </c>
      <c r="J19" s="20" t="n">
        <f aca="false">'1 The Vectors'!$E$9*C19+'1 The Vectors'!$E$10*D19+'1 The Vectors'!$E$11*E19+'1 The Vectors'!$E$12*F19+'1 The Vectors'!$E$13*G19</f>
        <v>-13.17</v>
      </c>
      <c r="K19" s="13" t="n">
        <f aca="false">IF(H19&gt;=0,1,0)</f>
        <v>0</v>
      </c>
      <c r="L19" s="13" t="n">
        <f aca="false">IF(I19&gt;=0,1,0)</f>
        <v>0</v>
      </c>
      <c r="M19" s="13" t="n">
        <f aca="false">IF(J19&gt;=0,1,0)</f>
        <v>0</v>
      </c>
      <c r="N19" s="28" t="n">
        <f aca="false">IF(K19=L19,1,0)</f>
        <v>1</v>
      </c>
      <c r="O19" s="28" t="n">
        <f aca="false">IF(K19=M19,1,0)</f>
        <v>1</v>
      </c>
      <c r="P19" s="28" t="n">
        <f aca="false">IF(L19=M19,1,0)</f>
        <v>1</v>
      </c>
    </row>
    <row r="20" customFormat="false" ht="15" hidden="false" customHeight="true" outlineLevel="0" collapsed="false">
      <c r="B20" s="13" t="n">
        <v>12</v>
      </c>
      <c r="C20" s="27" t="n">
        <v>-0.53</v>
      </c>
      <c r="D20" s="27" t="n">
        <v>1.66</v>
      </c>
      <c r="E20" s="27" t="n">
        <v>-1.99</v>
      </c>
      <c r="F20" s="27" t="n">
        <v>1.07</v>
      </c>
      <c r="G20" s="27" t="n">
        <v>-0.73</v>
      </c>
      <c r="H20" s="20" t="n">
        <f aca="false">'1 The Vectors'!$C$9*C20+'1 The Vectors'!$C$10*D20+'1 The Vectors'!$C$11*E20+'1 The Vectors'!$C$12*F20+'1 The Vectors'!$C$13*G20</f>
        <v>-1.65</v>
      </c>
      <c r="I20" s="20" t="n">
        <f aca="false">'1 The Vectors'!$D$9*C20+'1 The Vectors'!$D$10*D20+'1 The Vectors'!$D$11*E20+'1 The Vectors'!$D$12*F20+'1 The Vectors'!$D$13*G20</f>
        <v>-0.39</v>
      </c>
      <c r="J20" s="20" t="n">
        <f aca="false">'1 The Vectors'!$E$9*C20+'1 The Vectors'!$E$10*D20+'1 The Vectors'!$E$11*E20+'1 The Vectors'!$E$12*F20+'1 The Vectors'!$E$13*G20</f>
        <v>2.43</v>
      </c>
      <c r="K20" s="13" t="n">
        <f aca="false">IF(H20&gt;=0,1,0)</f>
        <v>0</v>
      </c>
      <c r="L20" s="13" t="n">
        <f aca="false">IF(I20&gt;=0,1,0)</f>
        <v>0</v>
      </c>
      <c r="M20" s="13" t="n">
        <f aca="false">IF(J20&gt;=0,1,0)</f>
        <v>1</v>
      </c>
      <c r="N20" s="28" t="n">
        <f aca="false">IF(K20=L20,1,0)</f>
        <v>1</v>
      </c>
      <c r="O20" s="28" t="n">
        <f aca="false">IF(K20=M20,1,0)</f>
        <v>0</v>
      </c>
      <c r="P20" s="28" t="n">
        <f aca="false">IF(L20=M20,1,0)</f>
        <v>0</v>
      </c>
    </row>
    <row r="21" customFormat="false" ht="15" hidden="false" customHeight="true" outlineLevel="0" collapsed="false">
      <c r="B21" s="13" t="n">
        <v>13</v>
      </c>
      <c r="C21" s="27" t="n">
        <v>-0.16</v>
      </c>
      <c r="D21" s="27" t="n">
        <v>-0.67</v>
      </c>
      <c r="E21" s="27" t="n">
        <v>0.64</v>
      </c>
      <c r="F21" s="27" t="n">
        <v>-1.14</v>
      </c>
      <c r="G21" s="27" t="n">
        <v>-0.08</v>
      </c>
      <c r="H21" s="20" t="n">
        <f aca="false">'1 The Vectors'!$C$9*C21+'1 The Vectors'!$C$10*D21+'1 The Vectors'!$C$11*E21+'1 The Vectors'!$C$12*F21+'1 The Vectors'!$C$13*G21</f>
        <v>-1.53</v>
      </c>
      <c r="I21" s="20" t="n">
        <f aca="false">'1 The Vectors'!$D$9*C21+'1 The Vectors'!$D$10*D21+'1 The Vectors'!$D$11*E21+'1 The Vectors'!$D$12*F21+'1 The Vectors'!$D$13*G21</f>
        <v>-1.08</v>
      </c>
      <c r="J21" s="20" t="n">
        <f aca="false">'1 The Vectors'!$E$9*C21+'1 The Vectors'!$E$10*D21+'1 The Vectors'!$E$11*E21+'1 The Vectors'!$E$12*F21+'1 The Vectors'!$E$13*G21</f>
        <v>-6.02</v>
      </c>
      <c r="K21" s="13" t="n">
        <f aca="false">IF(H21&gt;=0,1,0)</f>
        <v>0</v>
      </c>
      <c r="L21" s="13" t="n">
        <f aca="false">IF(I21&gt;=0,1,0)</f>
        <v>0</v>
      </c>
      <c r="M21" s="13" t="n">
        <f aca="false">IF(J21&gt;=0,1,0)</f>
        <v>0</v>
      </c>
      <c r="N21" s="28" t="n">
        <f aca="false">IF(K21=L21,1,0)</f>
        <v>1</v>
      </c>
      <c r="O21" s="28" t="n">
        <f aca="false">IF(K21=M21,1,0)</f>
        <v>1</v>
      </c>
      <c r="P21" s="28" t="n">
        <f aca="false">IF(L21=M21,1,0)</f>
        <v>1</v>
      </c>
    </row>
    <row r="22" customFormat="false" ht="15" hidden="false" customHeight="true" outlineLevel="0" collapsed="false">
      <c r="B22" s="13" t="n">
        <v>14</v>
      </c>
      <c r="C22" s="27" t="n">
        <v>0.35</v>
      </c>
      <c r="D22" s="27" t="n">
        <v>1.84</v>
      </c>
      <c r="E22" s="27" t="n">
        <v>-2.41</v>
      </c>
      <c r="F22" s="27" t="n">
        <v>1.53</v>
      </c>
      <c r="G22" s="27" t="n">
        <v>0.95</v>
      </c>
      <c r="H22" s="20" t="n">
        <f aca="false">'1 The Vectors'!$C$9*C22+'1 The Vectors'!$C$10*D22+'1 The Vectors'!$C$11*E22+'1 The Vectors'!$C$12*F22+'1 The Vectors'!$C$13*G22</f>
        <v>2.45</v>
      </c>
      <c r="I22" s="20" t="n">
        <f aca="false">'1 The Vectors'!$D$9*C22+'1 The Vectors'!$D$10*D22+'1 The Vectors'!$D$11*E22+'1 The Vectors'!$D$12*F22+'1 The Vectors'!$D$13*G22</f>
        <v>0.83</v>
      </c>
      <c r="J22" s="20" t="n">
        <f aca="false">'1 The Vectors'!$E$9*C22+'1 The Vectors'!$E$10*D22+'1 The Vectors'!$E$11*E22+'1 The Vectors'!$E$12*F22+'1 The Vectors'!$E$13*G22</f>
        <v>11.45</v>
      </c>
      <c r="K22" s="13" t="n">
        <f aca="false">IF(H22&gt;=0,1,0)</f>
        <v>1</v>
      </c>
      <c r="L22" s="13" t="n">
        <f aca="false">IF(I22&gt;=0,1,0)</f>
        <v>1</v>
      </c>
      <c r="M22" s="13" t="n">
        <f aca="false">IF(J22&gt;=0,1,0)</f>
        <v>1</v>
      </c>
      <c r="N22" s="28" t="n">
        <f aca="false">IF(K22=L22,1,0)</f>
        <v>1</v>
      </c>
      <c r="O22" s="28" t="n">
        <f aca="false">IF(K22=M22,1,0)</f>
        <v>1</v>
      </c>
      <c r="P22" s="28" t="n">
        <f aca="false">IF(L22=M22,1,0)</f>
        <v>1</v>
      </c>
    </row>
    <row r="23" customFormat="false" ht="15" hidden="false" customHeight="true" outlineLevel="0" collapsed="false">
      <c r="B23" s="13" t="n">
        <v>15</v>
      </c>
      <c r="C23" s="27" t="n">
        <v>-0.48</v>
      </c>
      <c r="D23" s="27" t="n">
        <v>0.3</v>
      </c>
      <c r="E23" s="27" t="n">
        <v>-0.47</v>
      </c>
      <c r="F23" s="27" t="n">
        <v>1.65</v>
      </c>
      <c r="G23" s="27" t="n">
        <v>0.21</v>
      </c>
      <c r="H23" s="20" t="n">
        <f aca="false">'1 The Vectors'!$C$9*C23+'1 The Vectors'!$C$10*D23+'1 The Vectors'!$C$11*E23+'1 The Vectors'!$C$12*F23+'1 The Vectors'!$C$13*G23</f>
        <v>-2.44</v>
      </c>
      <c r="I23" s="20" t="n">
        <f aca="false">'1 The Vectors'!$D$9*C23+'1 The Vectors'!$D$10*D23+'1 The Vectors'!$D$11*E23+'1 The Vectors'!$D$12*F23+'1 The Vectors'!$D$13*G23</f>
        <v>-1.17</v>
      </c>
      <c r="J23" s="20" t="n">
        <f aca="false">'1 The Vectors'!$E$9*C23+'1 The Vectors'!$E$10*D23+'1 The Vectors'!$E$11*E23+'1 The Vectors'!$E$12*F23+'1 The Vectors'!$E$13*G23</f>
        <v>9.09</v>
      </c>
      <c r="K23" s="13" t="n">
        <f aca="false">IF(H23&gt;=0,1,0)</f>
        <v>0</v>
      </c>
      <c r="L23" s="13" t="n">
        <f aca="false">IF(I23&gt;=0,1,0)</f>
        <v>0</v>
      </c>
      <c r="M23" s="13" t="n">
        <f aca="false">IF(J23&gt;=0,1,0)</f>
        <v>1</v>
      </c>
      <c r="N23" s="28" t="n">
        <f aca="false">IF(K23=L23,1,0)</f>
        <v>1</v>
      </c>
      <c r="O23" s="28" t="n">
        <f aca="false">IF(K23=M23,1,0)</f>
        <v>0</v>
      </c>
      <c r="P23" s="28" t="n">
        <f aca="false">IF(L23=M23,1,0)</f>
        <v>0</v>
      </c>
    </row>
    <row r="24" customFormat="false" ht="15" hidden="false" customHeight="true" outlineLevel="0" collapsed="false">
      <c r="B24" s="13" t="n">
        <v>16</v>
      </c>
      <c r="C24" s="27" t="n">
        <v>-0.22</v>
      </c>
      <c r="D24" s="27" t="n">
        <v>-0.23</v>
      </c>
      <c r="E24" s="27" t="n">
        <v>-0.2</v>
      </c>
      <c r="F24" s="27" t="n">
        <v>-0.18</v>
      </c>
      <c r="G24" s="27" t="n">
        <v>-0.88</v>
      </c>
      <c r="H24" s="20" t="n">
        <f aca="false">'1 The Vectors'!$C$9*C24+'1 The Vectors'!$C$10*D24+'1 The Vectors'!$C$11*E24+'1 The Vectors'!$C$12*F24+'1 The Vectors'!$C$13*G24</f>
        <v>-2.19</v>
      </c>
      <c r="I24" s="20" t="n">
        <f aca="false">'1 The Vectors'!$D$9*C24+'1 The Vectors'!$D$10*D24+'1 The Vectors'!$D$11*E24+'1 The Vectors'!$D$12*F24+'1 The Vectors'!$D$13*G24</f>
        <v>-1.96</v>
      </c>
      <c r="J24" s="20" t="n">
        <f aca="false">'1 The Vectors'!$E$9*C24+'1 The Vectors'!$E$10*D24+'1 The Vectors'!$E$11*E24+'1 The Vectors'!$E$12*F24+'1 The Vectors'!$E$13*G24</f>
        <v>-4.42</v>
      </c>
      <c r="K24" s="13" t="n">
        <f aca="false">IF(H24&gt;=0,1,0)</f>
        <v>0</v>
      </c>
      <c r="L24" s="13" t="n">
        <f aca="false">IF(I24&gt;=0,1,0)</f>
        <v>0</v>
      </c>
      <c r="M24" s="13" t="n">
        <f aca="false">IF(J24&gt;=0,1,0)</f>
        <v>0</v>
      </c>
      <c r="N24" s="28" t="n">
        <f aca="false">IF(K24=L24,1,0)</f>
        <v>1</v>
      </c>
      <c r="O24" s="28" t="n">
        <f aca="false">IF(K24=M24,1,0)</f>
        <v>1</v>
      </c>
      <c r="P24" s="28" t="n">
        <f aca="false">IF(L24=M24,1,0)</f>
        <v>1</v>
      </c>
    </row>
    <row r="25" customFormat="false" ht="15" hidden="false" customHeight="true" outlineLevel="0" collapsed="false">
      <c r="B25" s="13" t="n">
        <v>17</v>
      </c>
      <c r="C25" s="27" t="n">
        <v>2.06</v>
      </c>
      <c r="D25" s="27" t="n">
        <v>-1.91</v>
      </c>
      <c r="E25" s="27" t="n">
        <v>-3.61</v>
      </c>
      <c r="F25" s="27" t="n">
        <v>-0.12</v>
      </c>
      <c r="G25" s="27" t="n">
        <v>-0.15</v>
      </c>
      <c r="H25" s="20" t="n">
        <f aca="false">'1 The Vectors'!$C$9*C25+'1 The Vectors'!$C$10*D25+'1 The Vectors'!$C$11*E25+'1 The Vectors'!$C$12*F25+'1 The Vectors'!$C$13*G25</f>
        <v>-2.65</v>
      </c>
      <c r="I25" s="20" t="n">
        <f aca="false">'1 The Vectors'!$D$9*C25+'1 The Vectors'!$D$10*D25+'1 The Vectors'!$D$11*E25+'1 The Vectors'!$D$12*F25+'1 The Vectors'!$D$13*G25</f>
        <v>-14.35</v>
      </c>
      <c r="J25" s="20" t="n">
        <f aca="false">'1 The Vectors'!$E$9*C25+'1 The Vectors'!$E$10*D25+'1 The Vectors'!$E$11*E25+'1 The Vectors'!$E$12*F25+'1 The Vectors'!$E$13*G25</f>
        <v>-1.2</v>
      </c>
      <c r="K25" s="13" t="n">
        <f aca="false">IF(H25&gt;=0,1,0)</f>
        <v>0</v>
      </c>
      <c r="L25" s="13" t="n">
        <f aca="false">IF(I25&gt;=0,1,0)</f>
        <v>0</v>
      </c>
      <c r="M25" s="13" t="n">
        <f aca="false">IF(J25&gt;=0,1,0)</f>
        <v>0</v>
      </c>
      <c r="N25" s="28" t="n">
        <f aca="false">IF(K25=L25,1,0)</f>
        <v>1</v>
      </c>
      <c r="O25" s="28" t="n">
        <f aca="false">IF(K25=M25,1,0)</f>
        <v>1</v>
      </c>
      <c r="P25" s="28" t="n">
        <f aca="false">IF(L25=M25,1,0)</f>
        <v>1</v>
      </c>
    </row>
    <row r="26" customFormat="false" ht="15" hidden="false" customHeight="true" outlineLevel="0" collapsed="false">
      <c r="B26" s="13" t="n">
        <v>18</v>
      </c>
      <c r="C26" s="27" t="n">
        <v>0.37</v>
      </c>
      <c r="D26" s="27" t="n">
        <v>-0.2</v>
      </c>
      <c r="E26" s="27" t="n">
        <v>-0.15</v>
      </c>
      <c r="F26" s="27" t="n">
        <v>0.33</v>
      </c>
      <c r="G26" s="27" t="n">
        <v>0.97</v>
      </c>
      <c r="H26" s="20" t="n">
        <f aca="false">'1 The Vectors'!$C$9*C26+'1 The Vectors'!$C$10*D26+'1 The Vectors'!$C$11*E26+'1 The Vectors'!$C$12*F26+'1 The Vectors'!$C$13*G26</f>
        <v>0.95</v>
      </c>
      <c r="I26" s="20" t="n">
        <f aca="false">'1 The Vectors'!$D$9*C26+'1 The Vectors'!$D$10*D26+'1 The Vectors'!$D$11*E26+'1 The Vectors'!$D$12*F26+'1 The Vectors'!$D$13*G26</f>
        <v>-0.51</v>
      </c>
      <c r="J26" s="20" t="n">
        <f aca="false">'1 The Vectors'!$E$9*C26+'1 The Vectors'!$E$10*D26+'1 The Vectors'!$E$11*E26+'1 The Vectors'!$E$12*F26+'1 The Vectors'!$E$13*G26</f>
        <v>5.53</v>
      </c>
      <c r="K26" s="13" t="n">
        <f aca="false">IF(H26&gt;=0,1,0)</f>
        <v>1</v>
      </c>
      <c r="L26" s="13" t="n">
        <f aca="false">IF(I26&gt;=0,1,0)</f>
        <v>0</v>
      </c>
      <c r="M26" s="13" t="n">
        <f aca="false">IF(J26&gt;=0,1,0)</f>
        <v>1</v>
      </c>
      <c r="N26" s="28" t="n">
        <f aca="false">IF(K26=L26,1,0)</f>
        <v>0</v>
      </c>
      <c r="O26" s="28" t="n">
        <f aca="false">IF(K26=M26,1,0)</f>
        <v>1</v>
      </c>
      <c r="P26" s="28" t="n">
        <f aca="false">IF(L26=M26,1,0)</f>
        <v>0</v>
      </c>
    </row>
    <row r="27" customFormat="false" ht="15" hidden="false" customHeight="true" outlineLevel="0" collapsed="false">
      <c r="B27" s="13" t="n">
        <v>19</v>
      </c>
      <c r="C27" s="27" t="n">
        <v>-0.45</v>
      </c>
      <c r="D27" s="27" t="n">
        <v>-0.37</v>
      </c>
      <c r="E27" s="27" t="n">
        <v>1.94</v>
      </c>
      <c r="F27" s="27" t="n">
        <v>0.53</v>
      </c>
      <c r="G27" s="27" t="n">
        <v>-0.99</v>
      </c>
      <c r="H27" s="20" t="n">
        <f aca="false">'1 The Vectors'!$C$9*C27+'1 The Vectors'!$C$10*D27+'1 The Vectors'!$C$11*E27+'1 The Vectors'!$C$12*F27+'1 The Vectors'!$C$13*G27</f>
        <v>0.52</v>
      </c>
      <c r="I27" s="20" t="n">
        <f aca="false">'1 The Vectors'!$D$9*C27+'1 The Vectors'!$D$10*D27+'1 The Vectors'!$D$11*E27+'1 The Vectors'!$D$12*F27+'1 The Vectors'!$D$13*G27</f>
        <v>3.44</v>
      </c>
      <c r="J27" s="20" t="n">
        <f aca="false">'1 The Vectors'!$E$9*C27+'1 The Vectors'!$E$10*D27+'1 The Vectors'!$E$11*E27+'1 The Vectors'!$E$12*F27+'1 The Vectors'!$E$13*G27</f>
        <v>-1.31</v>
      </c>
      <c r="K27" s="13" t="n">
        <f aca="false">IF(H27&gt;=0,1,0)</f>
        <v>1</v>
      </c>
      <c r="L27" s="13" t="n">
        <f aca="false">IF(I27&gt;=0,1,0)</f>
        <v>1</v>
      </c>
      <c r="M27" s="13" t="n">
        <f aca="false">IF(J27&gt;=0,1,0)</f>
        <v>0</v>
      </c>
      <c r="N27" s="28" t="n">
        <f aca="false">IF(K27=L27,1,0)</f>
        <v>1</v>
      </c>
      <c r="O27" s="28" t="n">
        <f aca="false">IF(K27=M27,1,0)</f>
        <v>0</v>
      </c>
      <c r="P27" s="28" t="n">
        <f aca="false">IF(L27=M27,1,0)</f>
        <v>0</v>
      </c>
    </row>
    <row r="28" customFormat="false" ht="15" hidden="false" customHeight="true" outlineLevel="0" collapsed="false">
      <c r="B28" s="13" t="n">
        <v>20</v>
      </c>
      <c r="C28" s="27" t="n">
        <v>2.32</v>
      </c>
      <c r="D28" s="27" t="n">
        <v>0.78</v>
      </c>
      <c r="E28" s="27" t="n">
        <v>-0.59</v>
      </c>
      <c r="F28" s="27" t="n">
        <v>-1.17</v>
      </c>
      <c r="G28" s="27" t="n">
        <v>0.3</v>
      </c>
      <c r="H28" s="20" t="n">
        <f aca="false">'1 The Vectors'!$C$9*C28+'1 The Vectors'!$C$10*D28+'1 The Vectors'!$C$11*E28+'1 The Vectors'!$C$12*F28+'1 The Vectors'!$C$13*G28</f>
        <v>12.76</v>
      </c>
      <c r="I28" s="20" t="n">
        <f aca="false">'1 The Vectors'!$D$9*C28+'1 The Vectors'!$D$10*D28+'1 The Vectors'!$D$11*E28+'1 The Vectors'!$D$12*F28+'1 The Vectors'!$D$13*G28</f>
        <v>5.99</v>
      </c>
      <c r="J28" s="20" t="n">
        <f aca="false">'1 The Vectors'!$E$9*C28+'1 The Vectors'!$E$10*D28+'1 The Vectors'!$E$11*E28+'1 The Vectors'!$E$12*F28+'1 The Vectors'!$E$13*G28</f>
        <v>-4.65</v>
      </c>
      <c r="K28" s="13" t="n">
        <f aca="false">IF(H28&gt;=0,1,0)</f>
        <v>1</v>
      </c>
      <c r="L28" s="13" t="n">
        <f aca="false">IF(I28&gt;=0,1,0)</f>
        <v>1</v>
      </c>
      <c r="M28" s="13" t="n">
        <f aca="false">IF(J28&gt;=0,1,0)</f>
        <v>0</v>
      </c>
      <c r="N28" s="28" t="n">
        <f aca="false">IF(K28=L28,1,0)</f>
        <v>1</v>
      </c>
      <c r="O28" s="28" t="n">
        <f aca="false">IF(K28=M28,1,0)</f>
        <v>0</v>
      </c>
      <c r="P28" s="28" t="n">
        <f aca="false">IF(L28=M28,1,0)</f>
        <v>0</v>
      </c>
    </row>
    <row r="29" customFormat="false" ht="15" hidden="false" customHeight="true" outlineLevel="0" collapsed="false">
      <c r="B29" s="13" t="n">
        <v>21</v>
      </c>
      <c r="C29" s="27" t="n">
        <v>-0.83</v>
      </c>
      <c r="D29" s="27" t="n">
        <v>-1.06</v>
      </c>
      <c r="E29" s="27" t="n">
        <v>-1.3</v>
      </c>
      <c r="F29" s="27" t="n">
        <v>-0.51</v>
      </c>
      <c r="G29" s="27" t="n">
        <v>1.11</v>
      </c>
      <c r="H29" s="20" t="n">
        <f aca="false">'1 The Vectors'!$C$9*C29+'1 The Vectors'!$C$10*D29+'1 The Vectors'!$C$11*E29+'1 The Vectors'!$C$12*F29+'1 The Vectors'!$C$13*G29</f>
        <v>-9.93</v>
      </c>
      <c r="I29" s="20" t="n">
        <f aca="false">'1 The Vectors'!$D$9*C29+'1 The Vectors'!$D$10*D29+'1 The Vectors'!$D$11*E29+'1 The Vectors'!$D$12*F29+'1 The Vectors'!$D$13*G29</f>
        <v>-9.8</v>
      </c>
      <c r="J29" s="20" t="n">
        <f aca="false">'1 The Vectors'!$E$9*C29+'1 The Vectors'!$E$10*D29+'1 The Vectors'!$E$11*E29+'1 The Vectors'!$E$12*F29+'1 The Vectors'!$E$13*G29</f>
        <v>1.89</v>
      </c>
      <c r="K29" s="13" t="n">
        <f aca="false">IF(H29&gt;=0,1,0)</f>
        <v>0</v>
      </c>
      <c r="L29" s="13" t="n">
        <f aca="false">IF(I29&gt;=0,1,0)</f>
        <v>0</v>
      </c>
      <c r="M29" s="13" t="n">
        <f aca="false">IF(J29&gt;=0,1,0)</f>
        <v>1</v>
      </c>
      <c r="N29" s="28" t="n">
        <f aca="false">IF(K29=L29,1,0)</f>
        <v>1</v>
      </c>
      <c r="O29" s="28" t="n">
        <f aca="false">IF(K29=M29,1,0)</f>
        <v>0</v>
      </c>
      <c r="P29" s="28" t="n">
        <f aca="false">IF(L29=M29,1,0)</f>
        <v>0</v>
      </c>
    </row>
    <row r="30" customFormat="false" ht="15" hidden="false" customHeight="true" outlineLevel="0" collapsed="false">
      <c r="B30" s="13" t="n">
        <v>22</v>
      </c>
      <c r="C30" s="27" t="n">
        <v>-0.43</v>
      </c>
      <c r="D30" s="27" t="n">
        <v>-1.45</v>
      </c>
      <c r="E30" s="27" t="n">
        <v>0.67</v>
      </c>
      <c r="F30" s="27" t="n">
        <v>0.07</v>
      </c>
      <c r="G30" s="27" t="n">
        <v>0.84</v>
      </c>
      <c r="H30" s="20" t="n">
        <f aca="false">'1 The Vectors'!$C$9*C30+'1 The Vectors'!$C$10*D30+'1 The Vectors'!$C$11*E30+'1 The Vectors'!$C$12*F30+'1 The Vectors'!$C$13*G30</f>
        <v>-5.16</v>
      </c>
      <c r="I30" s="20" t="n">
        <f aca="false">'1 The Vectors'!$D$9*C30+'1 The Vectors'!$D$10*D30+'1 The Vectors'!$D$11*E30+'1 The Vectors'!$D$12*F30+'1 The Vectors'!$D$13*G30</f>
        <v>-4.65</v>
      </c>
      <c r="J30" s="20" t="n">
        <f aca="false">'1 The Vectors'!$E$9*C30+'1 The Vectors'!$E$10*D30+'1 The Vectors'!$E$11*E30+'1 The Vectors'!$E$12*F30+'1 The Vectors'!$E$13*G30</f>
        <v>3.71</v>
      </c>
      <c r="K30" s="13" t="n">
        <f aca="false">IF(H30&gt;=0,1,0)</f>
        <v>0</v>
      </c>
      <c r="L30" s="13" t="n">
        <f aca="false">IF(I30&gt;=0,1,0)</f>
        <v>0</v>
      </c>
      <c r="M30" s="13" t="n">
        <f aca="false">IF(J30&gt;=0,1,0)</f>
        <v>1</v>
      </c>
      <c r="N30" s="28" t="n">
        <f aca="false">IF(K30=L30,1,0)</f>
        <v>1</v>
      </c>
      <c r="O30" s="28" t="n">
        <f aca="false">IF(K30=M30,1,0)</f>
        <v>0</v>
      </c>
      <c r="P30" s="28" t="n">
        <f aca="false">IF(L30=M30,1,0)</f>
        <v>0</v>
      </c>
    </row>
    <row r="31" customFormat="false" ht="15" hidden="false" customHeight="true" outlineLevel="0" collapsed="false">
      <c r="B31" s="13" t="n">
        <v>23</v>
      </c>
      <c r="C31" s="27" t="n">
        <v>1.2</v>
      </c>
      <c r="D31" s="27" t="n">
        <v>-0.17</v>
      </c>
      <c r="E31" s="27" t="n">
        <v>-0.14</v>
      </c>
      <c r="F31" s="27" t="n">
        <v>-0.05</v>
      </c>
      <c r="G31" s="27" t="n">
        <v>-1.13</v>
      </c>
      <c r="H31" s="20" t="n">
        <f aca="false">'1 The Vectors'!$C$9*C31+'1 The Vectors'!$C$10*D31+'1 The Vectors'!$C$11*E31+'1 The Vectors'!$C$12*F31+'1 The Vectors'!$C$13*G31</f>
        <v>5.21</v>
      </c>
      <c r="I31" s="20" t="n">
        <f aca="false">'1 The Vectors'!$D$9*C31+'1 The Vectors'!$D$10*D31+'1 The Vectors'!$D$11*E31+'1 The Vectors'!$D$12*F31+'1 The Vectors'!$D$13*G31</f>
        <v>1.3</v>
      </c>
      <c r="J31" s="20" t="n">
        <f aca="false">'1 The Vectors'!$E$9*C31+'1 The Vectors'!$E$10*D31+'1 The Vectors'!$E$11*E31+'1 The Vectors'!$E$12*F31+'1 The Vectors'!$E$13*G31</f>
        <v>-4.77</v>
      </c>
      <c r="K31" s="13" t="n">
        <f aca="false">IF(H31&gt;=0,1,0)</f>
        <v>1</v>
      </c>
      <c r="L31" s="13" t="n">
        <f aca="false">IF(I31&gt;=0,1,0)</f>
        <v>1</v>
      </c>
      <c r="M31" s="13" t="n">
        <f aca="false">IF(J31&gt;=0,1,0)</f>
        <v>0</v>
      </c>
      <c r="N31" s="28" t="n">
        <f aca="false">IF(K31=L31,1,0)</f>
        <v>1</v>
      </c>
      <c r="O31" s="28" t="n">
        <f aca="false">IF(K31=M31,1,0)</f>
        <v>0</v>
      </c>
      <c r="P31" s="28" t="n">
        <f aca="false">IF(L31=M31,1,0)</f>
        <v>0</v>
      </c>
    </row>
    <row r="32" customFormat="false" ht="15" hidden="false" customHeight="true" outlineLevel="0" collapsed="false">
      <c r="B32" s="13" t="n">
        <v>24</v>
      </c>
      <c r="C32" s="27" t="n">
        <v>0.67</v>
      </c>
      <c r="D32" s="27" t="n">
        <v>1.37</v>
      </c>
      <c r="E32" s="27" t="n">
        <v>0.17</v>
      </c>
      <c r="F32" s="27" t="n">
        <v>-0.24</v>
      </c>
      <c r="G32" s="27" t="n">
        <v>-0.26</v>
      </c>
      <c r="H32" s="20" t="n">
        <f aca="false">'1 The Vectors'!$C$9*C32+'1 The Vectors'!$C$10*D32+'1 The Vectors'!$C$11*E32+'1 The Vectors'!$C$12*F32+'1 The Vectors'!$C$13*G32</f>
        <v>7.8</v>
      </c>
      <c r="I32" s="20" t="n">
        <f aca="false">'1 The Vectors'!$D$9*C32+'1 The Vectors'!$D$10*D32+'1 The Vectors'!$D$11*E32+'1 The Vectors'!$D$12*F32+'1 The Vectors'!$D$13*G32</f>
        <v>7.33</v>
      </c>
      <c r="J32" s="20" t="n">
        <f aca="false">'1 The Vectors'!$E$9*C32+'1 The Vectors'!$E$10*D32+'1 The Vectors'!$E$11*E32+'1 The Vectors'!$E$12*F32+'1 The Vectors'!$E$13*G32</f>
        <v>-2.24</v>
      </c>
      <c r="K32" s="13" t="n">
        <f aca="false">IF(H32&gt;=0,1,0)</f>
        <v>1</v>
      </c>
      <c r="L32" s="13" t="n">
        <f aca="false">IF(I32&gt;=0,1,0)</f>
        <v>1</v>
      </c>
      <c r="M32" s="13" t="n">
        <f aca="false">IF(J32&gt;=0,1,0)</f>
        <v>0</v>
      </c>
      <c r="N32" s="28" t="n">
        <f aca="false">IF(K32=L32,1,0)</f>
        <v>1</v>
      </c>
      <c r="O32" s="28" t="n">
        <f aca="false">IF(K32=M32,1,0)</f>
        <v>0</v>
      </c>
      <c r="P32" s="28" t="n">
        <f aca="false">IF(L32=M32,1,0)</f>
        <v>0</v>
      </c>
    </row>
    <row r="33" customFormat="false" ht="15" hidden="false" customHeight="true" outlineLevel="0" collapsed="false">
      <c r="B33" s="13" t="n">
        <v>25</v>
      </c>
      <c r="C33" s="27" t="n">
        <v>-0.78</v>
      </c>
      <c r="D33" s="27" t="n">
        <v>-0.8</v>
      </c>
      <c r="E33" s="27" t="n">
        <v>-0.4</v>
      </c>
      <c r="F33" s="27" t="n">
        <v>-0.84</v>
      </c>
      <c r="G33" s="27" t="n">
        <v>-0.44</v>
      </c>
      <c r="H33" s="20" t="n">
        <f aca="false">'1 The Vectors'!$C$9*C33+'1 The Vectors'!$C$10*D33+'1 The Vectors'!$C$11*E33+'1 The Vectors'!$C$12*F33+'1 The Vectors'!$C$13*G33</f>
        <v>-7.1</v>
      </c>
      <c r="I33" s="20" t="n">
        <f aca="false">'1 The Vectors'!$D$9*C33+'1 The Vectors'!$D$10*D33+'1 The Vectors'!$D$11*E33+'1 The Vectors'!$D$12*F33+'1 The Vectors'!$D$13*G33</f>
        <v>-5.96</v>
      </c>
      <c r="J33" s="20" t="n">
        <f aca="false">'1 The Vectors'!$E$9*C33+'1 The Vectors'!$E$10*D33+'1 The Vectors'!$E$11*E33+'1 The Vectors'!$E$12*F33+'1 The Vectors'!$E$13*G33</f>
        <v>-5.96</v>
      </c>
      <c r="K33" s="13" t="n">
        <f aca="false">IF(H33&gt;=0,1,0)</f>
        <v>0</v>
      </c>
      <c r="L33" s="13" t="n">
        <f aca="false">IF(I33&gt;=0,1,0)</f>
        <v>0</v>
      </c>
      <c r="M33" s="13" t="n">
        <f aca="false">IF(J33&gt;=0,1,0)</f>
        <v>0</v>
      </c>
      <c r="N33" s="28" t="n">
        <f aca="false">IF(K33=L33,1,0)</f>
        <v>1</v>
      </c>
      <c r="O33" s="28" t="n">
        <f aca="false">IF(K33=M33,1,0)</f>
        <v>1</v>
      </c>
      <c r="P33" s="28" t="n">
        <f aca="false">IF(L33=M33,1,0)</f>
        <v>1</v>
      </c>
    </row>
    <row r="34" customFormat="false" ht="15" hidden="false" customHeight="true" outlineLevel="0" collapsed="false">
      <c r="B34" s="13" t="n">
        <v>26</v>
      </c>
      <c r="C34" s="27" t="n">
        <v>-1.58</v>
      </c>
      <c r="D34" s="27" t="n">
        <v>0.35</v>
      </c>
      <c r="E34" s="27" t="n">
        <v>0.05</v>
      </c>
      <c r="F34" s="27" t="n">
        <v>-1.15</v>
      </c>
      <c r="G34" s="27" t="n">
        <v>-2.3</v>
      </c>
      <c r="H34" s="20" t="n">
        <f aca="false">'1 The Vectors'!$C$9*C34+'1 The Vectors'!$C$10*D34+'1 The Vectors'!$C$11*E34+'1 The Vectors'!$C$12*F34+'1 The Vectors'!$C$13*G34</f>
        <v>-6.75</v>
      </c>
      <c r="I34" s="20" t="n">
        <f aca="false">'1 The Vectors'!$D$9*C34+'1 The Vectors'!$D$10*D34+'1 The Vectors'!$D$11*E34+'1 The Vectors'!$D$12*F34+'1 The Vectors'!$D$13*G34</f>
        <v>-1.61</v>
      </c>
      <c r="J34" s="20" t="n">
        <f aca="false">'1 The Vectors'!$E$9*C34+'1 The Vectors'!$E$10*D34+'1 The Vectors'!$E$11*E34+'1 The Vectors'!$E$12*F34+'1 The Vectors'!$E$13*G34</f>
        <v>-14.95</v>
      </c>
      <c r="K34" s="13" t="n">
        <f aca="false">IF(H34&gt;=0,1,0)</f>
        <v>0</v>
      </c>
      <c r="L34" s="13" t="n">
        <f aca="false">IF(I34&gt;=0,1,0)</f>
        <v>0</v>
      </c>
      <c r="M34" s="13" t="n">
        <f aca="false">IF(J34&gt;=0,1,0)</f>
        <v>0</v>
      </c>
      <c r="N34" s="28" t="n">
        <f aca="false">IF(K34=L34,1,0)</f>
        <v>1</v>
      </c>
      <c r="O34" s="28" t="n">
        <f aca="false">IF(K34=M34,1,0)</f>
        <v>1</v>
      </c>
      <c r="P34" s="28" t="n">
        <f aca="false">IF(L34=M34,1,0)</f>
        <v>1</v>
      </c>
    </row>
    <row r="35" customFormat="false" ht="15" hidden="false" customHeight="true" outlineLevel="0" collapsed="false">
      <c r="B35" s="13" t="n">
        <v>27</v>
      </c>
      <c r="C35" s="27" t="n">
        <v>-0.01</v>
      </c>
      <c r="D35" s="27" t="n">
        <v>1.1</v>
      </c>
      <c r="E35" s="27" t="n">
        <v>-0.73</v>
      </c>
      <c r="F35" s="27" t="n">
        <v>-0.48</v>
      </c>
      <c r="G35" s="27" t="n">
        <v>-0.57</v>
      </c>
      <c r="H35" s="20" t="n">
        <f aca="false">'1 The Vectors'!$C$9*C35+'1 The Vectors'!$C$10*D35+'1 The Vectors'!$C$11*E35+'1 The Vectors'!$C$12*F35+'1 The Vectors'!$C$13*G35</f>
        <v>1.79</v>
      </c>
      <c r="I35" s="20" t="n">
        <f aca="false">'1 The Vectors'!$D$9*C35+'1 The Vectors'!$D$10*D35+'1 The Vectors'!$D$11*E35+'1 The Vectors'!$D$12*F35+'1 The Vectors'!$D$13*G35</f>
        <v>2.19</v>
      </c>
      <c r="J35" s="20" t="n">
        <f aca="false">'1 The Vectors'!$E$9*C35+'1 The Vectors'!$E$10*D35+'1 The Vectors'!$E$11*E35+'1 The Vectors'!$E$12*F35+'1 The Vectors'!$E$13*G35</f>
        <v>-4.68</v>
      </c>
      <c r="K35" s="13" t="n">
        <f aca="false">IF(H35&gt;=0,1,0)</f>
        <v>1</v>
      </c>
      <c r="L35" s="13" t="n">
        <f aca="false">IF(I35&gt;=0,1,0)</f>
        <v>1</v>
      </c>
      <c r="M35" s="13" t="n">
        <f aca="false">IF(J35&gt;=0,1,0)</f>
        <v>0</v>
      </c>
      <c r="N35" s="28" t="n">
        <f aca="false">IF(K35=L35,1,0)</f>
        <v>1</v>
      </c>
      <c r="O35" s="28" t="n">
        <f aca="false">IF(K35=M35,1,0)</f>
        <v>0</v>
      </c>
      <c r="P35" s="28" t="n">
        <f aca="false">IF(L35=M35,1,0)</f>
        <v>0</v>
      </c>
    </row>
    <row r="36" customFormat="false" ht="15" hidden="false" customHeight="true" outlineLevel="0" collapsed="false">
      <c r="B36" s="13" t="n">
        <v>28</v>
      </c>
      <c r="C36" s="27" t="n">
        <v>0.65</v>
      </c>
      <c r="D36" s="27" t="n">
        <v>-0.92</v>
      </c>
      <c r="E36" s="27" t="n">
        <v>0.99</v>
      </c>
      <c r="F36" s="27" t="n">
        <v>-0.3</v>
      </c>
      <c r="G36" s="27" t="n">
        <v>0.92</v>
      </c>
      <c r="H36" s="20" t="n">
        <f aca="false">'1 The Vectors'!$C$9*C36+'1 The Vectors'!$C$10*D36+'1 The Vectors'!$C$11*E36+'1 The Vectors'!$C$12*F36+'1 The Vectors'!$C$13*G36</f>
        <v>2.47</v>
      </c>
      <c r="I36" s="20" t="n">
        <f aca="false">'1 The Vectors'!$D$9*C36+'1 The Vectors'!$D$10*D36+'1 The Vectors'!$D$11*E36+'1 The Vectors'!$D$12*F36+'1 The Vectors'!$D$13*G36</f>
        <v>0.59</v>
      </c>
      <c r="J36" s="20" t="n">
        <f aca="false">'1 The Vectors'!$E$9*C36+'1 The Vectors'!$E$10*D36+'1 The Vectors'!$E$11*E36+'1 The Vectors'!$E$12*F36+'1 The Vectors'!$E$13*G36</f>
        <v>2.18</v>
      </c>
      <c r="K36" s="13" t="n">
        <f aca="false">IF(H36&gt;=0,1,0)</f>
        <v>1</v>
      </c>
      <c r="L36" s="13" t="n">
        <f aca="false">IF(I36&gt;=0,1,0)</f>
        <v>1</v>
      </c>
      <c r="M36" s="13" t="n">
        <f aca="false">IF(J36&gt;=0,1,0)</f>
        <v>1</v>
      </c>
      <c r="N36" s="28" t="n">
        <f aca="false">IF(K36=L36,1,0)</f>
        <v>1</v>
      </c>
      <c r="O36" s="28" t="n">
        <f aca="false">IF(K36=M36,1,0)</f>
        <v>1</v>
      </c>
      <c r="P36" s="28" t="n">
        <f aca="false">IF(L36=M36,1,0)</f>
        <v>1</v>
      </c>
    </row>
    <row r="37" customFormat="false" ht="15" hidden="false" customHeight="true" outlineLevel="0" collapsed="false">
      <c r="B37" s="13" t="n">
        <v>29</v>
      </c>
      <c r="C37" s="27" t="n">
        <v>0.03</v>
      </c>
      <c r="D37" s="27" t="n">
        <v>-0.23</v>
      </c>
      <c r="E37" s="27" t="n">
        <v>-1.48</v>
      </c>
      <c r="F37" s="27" t="n">
        <v>-0.69</v>
      </c>
      <c r="G37" s="27" t="n">
        <v>-0.26</v>
      </c>
      <c r="H37" s="20" t="n">
        <f aca="false">'1 The Vectors'!$C$9*C37+'1 The Vectors'!$C$10*D37+'1 The Vectors'!$C$11*E37+'1 The Vectors'!$C$12*F37+'1 The Vectors'!$C$13*G37</f>
        <v>-3.5</v>
      </c>
      <c r="I37" s="20" t="n">
        <f aca="false">'1 The Vectors'!$D$9*C37+'1 The Vectors'!$D$10*D37+'1 The Vectors'!$D$11*E37+'1 The Vectors'!$D$12*F37+'1 The Vectors'!$D$13*G37</f>
        <v>-5.3</v>
      </c>
      <c r="J37" s="20" t="n">
        <f aca="false">'1 The Vectors'!$E$9*C37+'1 The Vectors'!$E$10*D37+'1 The Vectors'!$E$11*E37+'1 The Vectors'!$E$12*F37+'1 The Vectors'!$E$13*G37</f>
        <v>-4.49</v>
      </c>
      <c r="K37" s="13" t="n">
        <f aca="false">IF(H37&gt;=0,1,0)</f>
        <v>0</v>
      </c>
      <c r="L37" s="13" t="n">
        <f aca="false">IF(I37&gt;=0,1,0)</f>
        <v>0</v>
      </c>
      <c r="M37" s="13" t="n">
        <f aca="false">IF(J37&gt;=0,1,0)</f>
        <v>0</v>
      </c>
      <c r="N37" s="28" t="n">
        <f aca="false">IF(K37=L37,1,0)</f>
        <v>1</v>
      </c>
      <c r="O37" s="28" t="n">
        <f aca="false">IF(K37=M37,1,0)</f>
        <v>1</v>
      </c>
      <c r="P37" s="28" t="n">
        <f aca="false">IF(L37=M37,1,0)</f>
        <v>1</v>
      </c>
    </row>
    <row r="38" customFormat="false" ht="15" hidden="false" customHeight="true" outlineLevel="0" collapsed="false">
      <c r="B38" s="13" t="n">
        <v>30</v>
      </c>
      <c r="C38" s="27" t="n">
        <v>0.66</v>
      </c>
      <c r="D38" s="27" t="n">
        <v>0.24</v>
      </c>
      <c r="E38" s="27" t="n">
        <v>-0.7</v>
      </c>
      <c r="F38" s="27" t="n">
        <v>0.41</v>
      </c>
      <c r="G38" s="27" t="n">
        <v>0.99</v>
      </c>
      <c r="H38" s="20" t="n">
        <f aca="false">'1 The Vectors'!$C$9*C38+'1 The Vectors'!$C$10*D38+'1 The Vectors'!$C$11*E38+'1 The Vectors'!$C$12*F38+'1 The Vectors'!$C$13*G38</f>
        <v>2.62</v>
      </c>
      <c r="I38" s="20" t="n">
        <f aca="false">'1 The Vectors'!$D$9*C38+'1 The Vectors'!$D$10*D38+'1 The Vectors'!$D$11*E38+'1 The Vectors'!$D$12*F38+'1 The Vectors'!$D$13*G38</f>
        <v>0.180000000000001</v>
      </c>
      <c r="J38" s="20" t="n">
        <f aca="false">'1 The Vectors'!$E$9*C38+'1 The Vectors'!$E$10*D38+'1 The Vectors'!$E$11*E38+'1 The Vectors'!$E$12*F38+'1 The Vectors'!$E$13*G38</f>
        <v>6.01</v>
      </c>
      <c r="K38" s="13" t="n">
        <f aca="false">IF(H38&gt;=0,1,0)</f>
        <v>1</v>
      </c>
      <c r="L38" s="13" t="n">
        <f aca="false">IF(I38&gt;=0,1,0)</f>
        <v>1</v>
      </c>
      <c r="M38" s="13" t="n">
        <f aca="false">IF(J38&gt;=0,1,0)</f>
        <v>1</v>
      </c>
      <c r="N38" s="28" t="n">
        <f aca="false">IF(K38=L38,1,0)</f>
        <v>1</v>
      </c>
      <c r="O38" s="28" t="n">
        <f aca="false">IF(K38=M38,1,0)</f>
        <v>1</v>
      </c>
      <c r="P38" s="28" t="n">
        <f aca="false">IF(L38=M38,1,0)</f>
        <v>1</v>
      </c>
    </row>
    <row r="39" customFormat="false" ht="15" hidden="false" customHeight="true" outlineLevel="0" collapsed="false">
      <c r="B39" s="13" t="n">
        <v>31</v>
      </c>
      <c r="C39" s="27" t="n">
        <v>-0.15</v>
      </c>
      <c r="D39" s="27" t="n">
        <v>-0.44</v>
      </c>
      <c r="E39" s="27" t="n">
        <v>-0.39</v>
      </c>
      <c r="F39" s="27" t="n">
        <v>0.81</v>
      </c>
      <c r="G39" s="27" t="n">
        <v>0.54</v>
      </c>
      <c r="H39" s="20" t="n">
        <f aca="false">'1 The Vectors'!$C$9*C39+'1 The Vectors'!$C$10*D39+'1 The Vectors'!$C$11*E39+'1 The Vectors'!$C$12*F39+'1 The Vectors'!$C$13*G39</f>
        <v>-2.85</v>
      </c>
      <c r="I39" s="20" t="n">
        <f aca="false">'1 The Vectors'!$D$9*C39+'1 The Vectors'!$D$10*D39+'1 The Vectors'!$D$11*E39+'1 The Vectors'!$D$12*F39+'1 The Vectors'!$D$13*G39</f>
        <v>-3.23</v>
      </c>
      <c r="J39" s="20" t="n">
        <f aca="false">'1 The Vectors'!$E$9*C39+'1 The Vectors'!$E$10*D39+'1 The Vectors'!$E$11*E39+'1 The Vectors'!$E$12*F39+'1 The Vectors'!$E$13*G39</f>
        <v>6.21</v>
      </c>
      <c r="K39" s="13" t="n">
        <f aca="false">IF(H39&gt;=0,1,0)</f>
        <v>0</v>
      </c>
      <c r="L39" s="13" t="n">
        <f aca="false">IF(I39&gt;=0,1,0)</f>
        <v>0</v>
      </c>
      <c r="M39" s="13" t="n">
        <f aca="false">IF(J39&gt;=0,1,0)</f>
        <v>1</v>
      </c>
      <c r="N39" s="28" t="n">
        <f aca="false">IF(K39=L39,1,0)</f>
        <v>1</v>
      </c>
      <c r="O39" s="28" t="n">
        <f aca="false">IF(K39=M39,1,0)</f>
        <v>0</v>
      </c>
      <c r="P39" s="28" t="n">
        <f aca="false">IF(L39=M39,1,0)</f>
        <v>0</v>
      </c>
    </row>
    <row r="40" customFormat="false" ht="15" hidden="false" customHeight="true" outlineLevel="0" collapsed="false">
      <c r="B40" s="13" t="n">
        <v>32</v>
      </c>
      <c r="C40" s="27" t="n">
        <v>-0.93</v>
      </c>
      <c r="D40" s="27" t="n">
        <v>0.37</v>
      </c>
      <c r="E40" s="27" t="n">
        <v>-0.48</v>
      </c>
      <c r="F40" s="27" t="n">
        <v>-0.75</v>
      </c>
      <c r="G40" s="27" t="n">
        <v>1.24</v>
      </c>
      <c r="H40" s="20" t="n">
        <f aca="false">'1 The Vectors'!$C$9*C40+'1 The Vectors'!$C$10*D40+'1 The Vectors'!$C$11*E40+'1 The Vectors'!$C$12*F40+'1 The Vectors'!$C$13*G40</f>
        <v>-4.5</v>
      </c>
      <c r="I40" s="20" t="n">
        <f aca="false">'1 The Vectors'!$D$9*C40+'1 The Vectors'!$D$10*D40+'1 The Vectors'!$D$11*E40+'1 The Vectors'!$D$12*F40+'1 The Vectors'!$D$13*G40</f>
        <v>-1.82</v>
      </c>
      <c r="J40" s="20" t="n">
        <f aca="false">'1 The Vectors'!$E$9*C40+'1 The Vectors'!$E$10*D40+'1 The Vectors'!$E$11*E40+'1 The Vectors'!$E$12*F40+'1 The Vectors'!$E$13*G40</f>
        <v>1.21</v>
      </c>
      <c r="K40" s="13" t="n">
        <f aca="false">IF(H40&gt;=0,1,0)</f>
        <v>0</v>
      </c>
      <c r="L40" s="13" t="n">
        <f aca="false">IF(I40&gt;=0,1,0)</f>
        <v>0</v>
      </c>
      <c r="M40" s="13" t="n">
        <f aca="false">IF(J40&gt;=0,1,0)</f>
        <v>1</v>
      </c>
      <c r="N40" s="28" t="n">
        <f aca="false">IF(K40=L40,1,0)</f>
        <v>1</v>
      </c>
      <c r="O40" s="28" t="n">
        <f aca="false">IF(K40=M40,1,0)</f>
        <v>0</v>
      </c>
      <c r="P40" s="28" t="n">
        <f aca="false">IF(L40=M40,1,0)</f>
        <v>0</v>
      </c>
    </row>
    <row r="41" customFormat="false" ht="15" hidden="false" customHeight="true" outlineLevel="0" collapsed="false">
      <c r="B41" s="13" t="n">
        <v>33</v>
      </c>
      <c r="C41" s="27" t="n">
        <v>0.82</v>
      </c>
      <c r="D41" s="27" t="n">
        <v>-0.72</v>
      </c>
      <c r="E41" s="27" t="n">
        <v>0.08</v>
      </c>
      <c r="F41" s="27" t="n">
        <v>0.5</v>
      </c>
      <c r="G41" s="27" t="n">
        <v>-0.64</v>
      </c>
      <c r="H41" s="20" t="n">
        <f aca="false">'1 The Vectors'!$C$9*C41+'1 The Vectors'!$C$10*D41+'1 The Vectors'!$C$11*E41+'1 The Vectors'!$C$12*F41+'1 The Vectors'!$C$13*G41</f>
        <v>2.1</v>
      </c>
      <c r="I41" s="20" t="n">
        <f aca="false">'1 The Vectors'!$D$9*C41+'1 The Vectors'!$D$10*D41+'1 The Vectors'!$D$11*E41+'1 The Vectors'!$D$12*F41+'1 The Vectors'!$D$13*G41</f>
        <v>-1</v>
      </c>
      <c r="J41" s="20" t="n">
        <f aca="false">'1 The Vectors'!$E$9*C41+'1 The Vectors'!$E$10*D41+'1 The Vectors'!$E$11*E41+'1 The Vectors'!$E$12*F41+'1 The Vectors'!$E$13*G41</f>
        <v>-0.0600000000000001</v>
      </c>
      <c r="K41" s="13" t="n">
        <f aca="false">IF(H41&gt;=0,1,0)</f>
        <v>1</v>
      </c>
      <c r="L41" s="13" t="n">
        <f aca="false">IF(I41&gt;=0,1,0)</f>
        <v>0</v>
      </c>
      <c r="M41" s="13" t="n">
        <f aca="false">IF(J41&gt;=0,1,0)</f>
        <v>0</v>
      </c>
      <c r="N41" s="28" t="n">
        <f aca="false">IF(K41=L41,1,0)</f>
        <v>0</v>
      </c>
      <c r="O41" s="28" t="n">
        <f aca="false">IF(K41=M41,1,0)</f>
        <v>0</v>
      </c>
      <c r="P41" s="28" t="n">
        <f aca="false">IF(L41=M41,1,0)</f>
        <v>1</v>
      </c>
    </row>
    <row r="42" customFormat="false" ht="15" hidden="false" customHeight="true" outlineLevel="0" collapsed="false">
      <c r="B42" s="13" t="n">
        <v>34</v>
      </c>
      <c r="C42" s="27" t="n">
        <v>-0.12</v>
      </c>
      <c r="D42" s="27" t="n">
        <v>0.67</v>
      </c>
      <c r="E42" s="27" t="n">
        <v>-1.79</v>
      </c>
      <c r="F42" s="27" t="n">
        <v>0.33</v>
      </c>
      <c r="G42" s="27" t="n">
        <v>0.74</v>
      </c>
      <c r="H42" s="20" t="n">
        <f aca="false">'1 The Vectors'!$C$9*C42+'1 The Vectors'!$C$10*D42+'1 The Vectors'!$C$11*E42+'1 The Vectors'!$C$12*F42+'1 The Vectors'!$C$13*G42</f>
        <v>-2.17</v>
      </c>
      <c r="I42" s="20" t="n">
        <f aca="false">'1 The Vectors'!$D$9*C42+'1 The Vectors'!$D$10*D42+'1 The Vectors'!$D$11*E42+'1 The Vectors'!$D$12*F42+'1 The Vectors'!$D$13*G42</f>
        <v>-2.93</v>
      </c>
      <c r="J42" s="20" t="n">
        <f aca="false">'1 The Vectors'!$E$9*C42+'1 The Vectors'!$E$10*D42+'1 The Vectors'!$E$11*E42+'1 The Vectors'!$E$12*F42+'1 The Vectors'!$E$13*G42</f>
        <v>4.61</v>
      </c>
      <c r="K42" s="13" t="n">
        <f aca="false">IF(H42&gt;=0,1,0)</f>
        <v>0</v>
      </c>
      <c r="L42" s="13" t="n">
        <f aca="false">IF(I42&gt;=0,1,0)</f>
        <v>0</v>
      </c>
      <c r="M42" s="13" t="n">
        <f aca="false">IF(J42&gt;=0,1,0)</f>
        <v>1</v>
      </c>
      <c r="N42" s="28" t="n">
        <f aca="false">IF(K42=L42,1,0)</f>
        <v>1</v>
      </c>
      <c r="O42" s="28" t="n">
        <f aca="false">IF(K42=M42,1,0)</f>
        <v>0</v>
      </c>
      <c r="P42" s="28" t="n">
        <f aca="false">IF(L42=M42,1,0)</f>
        <v>0</v>
      </c>
    </row>
    <row r="43" customFormat="false" ht="15" hidden="false" customHeight="true" outlineLevel="0" collapsed="false">
      <c r="B43" s="13" t="n">
        <v>35</v>
      </c>
      <c r="C43" s="27" t="n">
        <v>0.5</v>
      </c>
      <c r="D43" s="27" t="n">
        <v>-1.34</v>
      </c>
      <c r="E43" s="27" t="n">
        <v>0.32</v>
      </c>
      <c r="F43" s="27" t="n">
        <v>-0.86</v>
      </c>
      <c r="G43" s="27" t="n">
        <v>0.57</v>
      </c>
      <c r="H43" s="20" t="n">
        <f aca="false">'1 The Vectors'!$C$9*C43+'1 The Vectors'!$C$10*D43+'1 The Vectors'!$C$11*E43+'1 The Vectors'!$C$12*F43+'1 The Vectors'!$C$13*G43</f>
        <v>-0.88</v>
      </c>
      <c r="I43" s="20" t="n">
        <f aca="false">'1 The Vectors'!$D$9*C43+'1 The Vectors'!$D$10*D43+'1 The Vectors'!$D$11*E43+'1 The Vectors'!$D$12*F43+'1 The Vectors'!$D$13*G43</f>
        <v>-3.4</v>
      </c>
      <c r="J43" s="20" t="n">
        <f aca="false">'1 The Vectors'!$E$9*C43+'1 The Vectors'!$E$10*D43+'1 The Vectors'!$E$11*E43+'1 The Vectors'!$E$12*F43+'1 The Vectors'!$E$13*G43</f>
        <v>-2.02</v>
      </c>
      <c r="K43" s="13" t="n">
        <f aca="false">IF(H43&gt;=0,1,0)</f>
        <v>0</v>
      </c>
      <c r="L43" s="13" t="n">
        <f aca="false">IF(I43&gt;=0,1,0)</f>
        <v>0</v>
      </c>
      <c r="M43" s="13" t="n">
        <f aca="false">IF(J43&gt;=0,1,0)</f>
        <v>0</v>
      </c>
      <c r="N43" s="28" t="n">
        <f aca="false">IF(K43=L43,1,0)</f>
        <v>1</v>
      </c>
      <c r="O43" s="28" t="n">
        <f aca="false">IF(K43=M43,1,0)</f>
        <v>1</v>
      </c>
      <c r="P43" s="28" t="n">
        <f aca="false">IF(L43=M43,1,0)</f>
        <v>1</v>
      </c>
    </row>
    <row r="44" customFormat="false" ht="15" hidden="false" customHeight="true" outlineLevel="0" collapsed="false">
      <c r="B44" s="13" t="n">
        <v>36</v>
      </c>
      <c r="C44" s="27" t="n">
        <v>0.6</v>
      </c>
      <c r="D44" s="27" t="n">
        <v>0.22</v>
      </c>
      <c r="E44" s="27" t="n">
        <v>-0.77</v>
      </c>
      <c r="F44" s="27" t="n">
        <v>-0.59</v>
      </c>
      <c r="G44" s="27" t="n">
        <v>0.85</v>
      </c>
      <c r="H44" s="20" t="n">
        <f aca="false">'1 The Vectors'!$C$9*C44+'1 The Vectors'!$C$10*D44+'1 The Vectors'!$C$11*E44+'1 The Vectors'!$C$12*F44+'1 The Vectors'!$C$13*G44</f>
        <v>2.12</v>
      </c>
      <c r="I44" s="20" t="n">
        <f aca="false">'1 The Vectors'!$D$9*C44+'1 The Vectors'!$D$10*D44+'1 The Vectors'!$D$11*E44+'1 The Vectors'!$D$12*F44+'1 The Vectors'!$D$13*G44</f>
        <v>-0.23</v>
      </c>
      <c r="J44" s="20" t="n">
        <f aca="false">'1 The Vectors'!$E$9*C44+'1 The Vectors'!$E$10*D44+'1 The Vectors'!$E$11*E44+'1 The Vectors'!$E$12*F44+'1 The Vectors'!$E$13*G44</f>
        <v>0.45</v>
      </c>
      <c r="K44" s="13" t="n">
        <f aca="false">IF(H44&gt;=0,1,0)</f>
        <v>1</v>
      </c>
      <c r="L44" s="13" t="n">
        <f aca="false">IF(I44&gt;=0,1,0)</f>
        <v>0</v>
      </c>
      <c r="M44" s="13" t="n">
        <f aca="false">IF(J44&gt;=0,1,0)</f>
        <v>1</v>
      </c>
      <c r="N44" s="28" t="n">
        <f aca="false">IF(K44=L44,1,0)</f>
        <v>0</v>
      </c>
      <c r="O44" s="28" t="n">
        <f aca="false">IF(K44=M44,1,0)</f>
        <v>1</v>
      </c>
      <c r="P44" s="28" t="n">
        <f aca="false">IF(L44=M44,1,0)</f>
        <v>0</v>
      </c>
    </row>
    <row r="45" customFormat="false" ht="15" hidden="false" customHeight="true" outlineLevel="0" collapsed="false">
      <c r="B45" s="13" t="n">
        <v>37</v>
      </c>
      <c r="C45" s="27" t="n">
        <v>-0.9</v>
      </c>
      <c r="D45" s="27" t="n">
        <v>0.5</v>
      </c>
      <c r="E45" s="27" t="n">
        <v>0.51</v>
      </c>
      <c r="F45" s="27" t="n">
        <v>-0.28</v>
      </c>
      <c r="G45" s="27" t="n">
        <v>2.39</v>
      </c>
      <c r="H45" s="20" t="n">
        <f aca="false">'1 The Vectors'!$C$9*C45+'1 The Vectors'!$C$10*D45+'1 The Vectors'!$C$11*E45+'1 The Vectors'!$C$12*F45+'1 The Vectors'!$C$13*G45</f>
        <v>-1.98</v>
      </c>
      <c r="I45" s="20" t="n">
        <f aca="false">'1 The Vectors'!$D$9*C45+'1 The Vectors'!$D$10*D45+'1 The Vectors'!$D$11*E45+'1 The Vectors'!$D$12*F45+'1 The Vectors'!$D$13*G45</f>
        <v>1.73</v>
      </c>
      <c r="J45" s="20" t="n">
        <f aca="false">'1 The Vectors'!$E$9*C45+'1 The Vectors'!$E$10*D45+'1 The Vectors'!$E$11*E45+'1 The Vectors'!$E$12*F45+'1 The Vectors'!$E$13*G45</f>
        <v>8.16</v>
      </c>
      <c r="K45" s="13" t="n">
        <f aca="false">IF(H45&gt;=0,1,0)</f>
        <v>0</v>
      </c>
      <c r="L45" s="13" t="n">
        <f aca="false">IF(I45&gt;=0,1,0)</f>
        <v>1</v>
      </c>
      <c r="M45" s="13" t="n">
        <f aca="false">IF(J45&gt;=0,1,0)</f>
        <v>1</v>
      </c>
      <c r="N45" s="28" t="n">
        <f aca="false">IF(K45=L45,1,0)</f>
        <v>0</v>
      </c>
      <c r="O45" s="28" t="n">
        <f aca="false">IF(K45=M45,1,0)</f>
        <v>0</v>
      </c>
      <c r="P45" s="28" t="n">
        <f aca="false">IF(L45=M45,1,0)</f>
        <v>1</v>
      </c>
    </row>
    <row r="46" customFormat="false" ht="15" hidden="false" customHeight="true" outlineLevel="0" collapsed="false">
      <c r="B46" s="13" t="n">
        <v>38</v>
      </c>
      <c r="C46" s="27" t="n">
        <v>0.07</v>
      </c>
      <c r="D46" s="27" t="n">
        <v>2.15</v>
      </c>
      <c r="E46" s="27" t="n">
        <v>-2.02</v>
      </c>
      <c r="F46" s="27" t="n">
        <v>-2.24</v>
      </c>
      <c r="G46" s="27" t="n">
        <v>0.98</v>
      </c>
      <c r="H46" s="20" t="n">
        <f aca="false">'1 The Vectors'!$C$9*C46+'1 The Vectors'!$C$10*D46+'1 The Vectors'!$C$11*E46+'1 The Vectors'!$C$12*F46+'1 The Vectors'!$C$13*G46</f>
        <v>2.76</v>
      </c>
      <c r="I46" s="20" t="n">
        <f aca="false">'1 The Vectors'!$D$9*C46+'1 The Vectors'!$D$10*D46+'1 The Vectors'!$D$11*E46+'1 The Vectors'!$D$12*F46+'1 The Vectors'!$D$13*G46</f>
        <v>2.68</v>
      </c>
      <c r="J46" s="20" t="n">
        <f aca="false">'1 The Vectors'!$E$9*C46+'1 The Vectors'!$E$10*D46+'1 The Vectors'!$E$11*E46+'1 The Vectors'!$E$12*F46+'1 The Vectors'!$E$13*G46</f>
        <v>-7.28</v>
      </c>
      <c r="K46" s="13" t="n">
        <f aca="false">IF(H46&gt;=0,1,0)</f>
        <v>1</v>
      </c>
      <c r="L46" s="13" t="n">
        <f aca="false">IF(I46&gt;=0,1,0)</f>
        <v>1</v>
      </c>
      <c r="M46" s="13" t="n">
        <f aca="false">IF(J46&gt;=0,1,0)</f>
        <v>0</v>
      </c>
      <c r="N46" s="28" t="n">
        <f aca="false">IF(K46=L46,1,0)</f>
        <v>1</v>
      </c>
      <c r="O46" s="28" t="n">
        <f aca="false">IF(K46=M46,1,0)</f>
        <v>0</v>
      </c>
      <c r="P46" s="28" t="n">
        <f aca="false">IF(L46=M46,1,0)</f>
        <v>0</v>
      </c>
    </row>
    <row r="47" customFormat="false" ht="15" hidden="false" customHeight="true" outlineLevel="0" collapsed="false">
      <c r="B47" s="13" t="n">
        <v>39</v>
      </c>
      <c r="C47" s="27" t="n">
        <v>0.64</v>
      </c>
      <c r="D47" s="27" t="n">
        <v>-0.31</v>
      </c>
      <c r="E47" s="27" t="n">
        <v>-0.05</v>
      </c>
      <c r="F47" s="27" t="n">
        <v>-1.9</v>
      </c>
      <c r="G47" s="27" t="n">
        <v>-0.63</v>
      </c>
      <c r="H47" s="20" t="n">
        <f aca="false">'1 The Vectors'!$C$9*C47+'1 The Vectors'!$C$10*D47+'1 The Vectors'!$C$11*E47+'1 The Vectors'!$C$12*F47+'1 The Vectors'!$C$13*G47</f>
        <v>2.17</v>
      </c>
      <c r="I47" s="20" t="n">
        <f aca="false">'1 The Vectors'!$D$9*C47+'1 The Vectors'!$D$10*D47+'1 The Vectors'!$D$11*E47+'1 The Vectors'!$D$12*F47+'1 The Vectors'!$D$13*G47</f>
        <v>-0.11</v>
      </c>
      <c r="J47" s="20" t="n">
        <f aca="false">'1 The Vectors'!$E$9*C47+'1 The Vectors'!$E$10*D47+'1 The Vectors'!$E$11*E47+'1 The Vectors'!$E$12*F47+'1 The Vectors'!$E$13*G47</f>
        <v>-12.02</v>
      </c>
      <c r="K47" s="13" t="n">
        <f aca="false">IF(H47&gt;=0,1,0)</f>
        <v>1</v>
      </c>
      <c r="L47" s="13" t="n">
        <f aca="false">IF(I47&gt;=0,1,0)</f>
        <v>0</v>
      </c>
      <c r="M47" s="13" t="n">
        <f aca="false">IF(J47&gt;=0,1,0)</f>
        <v>0</v>
      </c>
      <c r="N47" s="28" t="n">
        <f aca="false">IF(K47=L47,1,0)</f>
        <v>0</v>
      </c>
      <c r="O47" s="28" t="n">
        <f aca="false">IF(K47=M47,1,0)</f>
        <v>0</v>
      </c>
      <c r="P47" s="28" t="n">
        <f aca="false">IF(L47=M47,1,0)</f>
        <v>1</v>
      </c>
    </row>
    <row r="48" customFormat="false" ht="15" hidden="false" customHeight="true" outlineLevel="0" collapsed="false">
      <c r="B48" s="13" t="n">
        <v>40</v>
      </c>
      <c r="C48" s="27" t="n">
        <v>-1.03</v>
      </c>
      <c r="D48" s="27" t="n">
        <v>-0.22</v>
      </c>
      <c r="E48" s="27" t="n">
        <v>0.89</v>
      </c>
      <c r="F48" s="27" t="n">
        <v>0.05</v>
      </c>
      <c r="G48" s="27" t="n">
        <v>0.37</v>
      </c>
      <c r="H48" s="20" t="n">
        <f aca="false">'1 The Vectors'!$C$9*C48+'1 The Vectors'!$C$10*D48+'1 The Vectors'!$C$11*E48+'1 The Vectors'!$C$12*F48+'1 The Vectors'!$C$13*G48</f>
        <v>-4.03</v>
      </c>
      <c r="I48" s="20" t="n">
        <f aca="false">'1 The Vectors'!$D$9*C48+'1 The Vectors'!$D$10*D48+'1 The Vectors'!$D$11*E48+'1 The Vectors'!$D$12*F48+'1 The Vectors'!$D$13*G48</f>
        <v>-0.27</v>
      </c>
      <c r="J48" s="20" t="n">
        <f aca="false">'1 The Vectors'!$E$9*C48+'1 The Vectors'!$E$10*D48+'1 The Vectors'!$E$11*E48+'1 The Vectors'!$E$12*F48+'1 The Vectors'!$E$13*G48</f>
        <v>1.73</v>
      </c>
      <c r="K48" s="13" t="n">
        <f aca="false">IF(H48&gt;=0,1,0)</f>
        <v>0</v>
      </c>
      <c r="L48" s="13" t="n">
        <f aca="false">IF(I48&gt;=0,1,0)</f>
        <v>0</v>
      </c>
      <c r="M48" s="13" t="n">
        <f aca="false">IF(J48&gt;=0,1,0)</f>
        <v>1</v>
      </c>
      <c r="N48" s="28" t="n">
        <f aca="false">IF(K48=L48,1,0)</f>
        <v>1</v>
      </c>
      <c r="O48" s="28" t="n">
        <f aca="false">IF(K48=M48,1,0)</f>
        <v>0</v>
      </c>
      <c r="P48" s="28" t="n">
        <f aca="false">IF(L48=M48,1,0)</f>
        <v>0</v>
      </c>
    </row>
    <row r="49" customFormat="false" ht="15" hidden="false" customHeight="true" outlineLevel="0" collapsed="false">
      <c r="B49" s="13" t="n">
        <v>41</v>
      </c>
      <c r="C49" s="27" t="n">
        <v>-0.7</v>
      </c>
      <c r="D49" s="27" t="n">
        <v>-0.43</v>
      </c>
      <c r="E49" s="27" t="n">
        <v>0.11</v>
      </c>
      <c r="F49" s="27" t="n">
        <v>-0.28</v>
      </c>
      <c r="G49" s="27" t="n">
        <v>1.26</v>
      </c>
      <c r="H49" s="20" t="n">
        <f aca="false">'1 The Vectors'!$C$9*C49+'1 The Vectors'!$C$10*D49+'1 The Vectors'!$C$11*E49+'1 The Vectors'!$C$12*F49+'1 The Vectors'!$C$13*G49</f>
        <v>-4.57</v>
      </c>
      <c r="I49" s="20" t="n">
        <f aca="false">'1 The Vectors'!$D$9*C49+'1 The Vectors'!$D$10*D49+'1 The Vectors'!$D$11*E49+'1 The Vectors'!$D$12*F49+'1 The Vectors'!$D$13*G49</f>
        <v>-2.79</v>
      </c>
      <c r="J49" s="20" t="n">
        <f aca="false">'1 The Vectors'!$E$9*C49+'1 The Vectors'!$E$10*D49+'1 The Vectors'!$E$11*E49+'1 The Vectors'!$E$12*F49+'1 The Vectors'!$E$13*G49</f>
        <v>3.64</v>
      </c>
      <c r="K49" s="13" t="n">
        <f aca="false">IF(H49&gt;=0,1,0)</f>
        <v>0</v>
      </c>
      <c r="L49" s="13" t="n">
        <f aca="false">IF(I49&gt;=0,1,0)</f>
        <v>0</v>
      </c>
      <c r="M49" s="13" t="n">
        <f aca="false">IF(J49&gt;=0,1,0)</f>
        <v>1</v>
      </c>
      <c r="N49" s="28" t="n">
        <f aca="false">IF(K49=L49,1,0)</f>
        <v>1</v>
      </c>
      <c r="O49" s="28" t="n">
        <f aca="false">IF(K49=M49,1,0)</f>
        <v>0</v>
      </c>
      <c r="P49" s="28" t="n">
        <f aca="false">IF(L49=M49,1,0)</f>
        <v>0</v>
      </c>
    </row>
    <row r="50" customFormat="false" ht="15" hidden="false" customHeight="true" outlineLevel="0" collapsed="false">
      <c r="B50" s="13" t="n">
        <v>42</v>
      </c>
      <c r="C50" s="27" t="n">
        <v>-0.88</v>
      </c>
      <c r="D50" s="27" t="n">
        <v>1.89</v>
      </c>
      <c r="E50" s="27" t="n">
        <v>-0.98</v>
      </c>
      <c r="F50" s="27" t="n">
        <v>1.06</v>
      </c>
      <c r="G50" s="27" t="n">
        <v>-0.77</v>
      </c>
      <c r="H50" s="20" t="n">
        <f aca="false">'1 The Vectors'!$C$9*C50+'1 The Vectors'!$C$10*D50+'1 The Vectors'!$C$11*E50+'1 The Vectors'!$C$12*F50+'1 The Vectors'!$C$13*G50</f>
        <v>-0.69</v>
      </c>
      <c r="I50" s="20" t="n">
        <f aca="false">'1 The Vectors'!$D$9*C50+'1 The Vectors'!$D$10*D50+'1 The Vectors'!$D$11*E50+'1 The Vectors'!$D$12*F50+'1 The Vectors'!$D$13*G50</f>
        <v>2.86</v>
      </c>
      <c r="J50" s="20" t="n">
        <f aca="false">'1 The Vectors'!$E$9*C50+'1 The Vectors'!$E$10*D50+'1 The Vectors'!$E$11*E50+'1 The Vectors'!$E$12*F50+'1 The Vectors'!$E$13*G50</f>
        <v>2.22</v>
      </c>
      <c r="K50" s="13" t="n">
        <f aca="false">IF(H50&gt;=0,1,0)</f>
        <v>0</v>
      </c>
      <c r="L50" s="13" t="n">
        <f aca="false">IF(I50&gt;=0,1,0)</f>
        <v>1</v>
      </c>
      <c r="M50" s="13" t="n">
        <f aca="false">IF(J50&gt;=0,1,0)</f>
        <v>1</v>
      </c>
      <c r="N50" s="28" t="n">
        <f aca="false">IF(K50=L50,1,0)</f>
        <v>0</v>
      </c>
      <c r="O50" s="28" t="n">
        <f aca="false">IF(K50=M50,1,0)</f>
        <v>0</v>
      </c>
      <c r="P50" s="28" t="n">
        <f aca="false">IF(L50=M50,1,0)</f>
        <v>1</v>
      </c>
    </row>
    <row r="51" customFormat="false" ht="15" hidden="false" customHeight="true" outlineLevel="0" collapsed="false">
      <c r="B51" s="13" t="n">
        <v>43</v>
      </c>
      <c r="C51" s="27" t="n">
        <v>1.65</v>
      </c>
      <c r="D51" s="27" t="n">
        <v>0.14</v>
      </c>
      <c r="E51" s="27" t="n">
        <v>0.4</v>
      </c>
      <c r="F51" s="27" t="n">
        <v>0.74</v>
      </c>
      <c r="G51" s="27" t="n">
        <v>-0.63</v>
      </c>
      <c r="H51" s="20" t="n">
        <f aca="false">'1 The Vectors'!$C$9*C51+'1 The Vectors'!$C$10*D51+'1 The Vectors'!$C$11*E51+'1 The Vectors'!$C$12*F51+'1 The Vectors'!$C$13*G51</f>
        <v>9.47</v>
      </c>
      <c r="I51" s="20" t="n">
        <f aca="false">'1 The Vectors'!$D$9*C51+'1 The Vectors'!$D$10*D51+'1 The Vectors'!$D$11*E51+'1 The Vectors'!$D$12*F51+'1 The Vectors'!$D$13*G51</f>
        <v>5.06</v>
      </c>
      <c r="J51" s="20" t="n">
        <f aca="false">'1 The Vectors'!$E$9*C51+'1 The Vectors'!$E$10*D51+'1 The Vectors'!$E$11*E51+'1 The Vectors'!$E$12*F51+'1 The Vectors'!$E$13*G51</f>
        <v>1.18</v>
      </c>
      <c r="K51" s="13" t="n">
        <f aca="false">IF(H51&gt;=0,1,0)</f>
        <v>1</v>
      </c>
      <c r="L51" s="13" t="n">
        <f aca="false">IF(I51&gt;=0,1,0)</f>
        <v>1</v>
      </c>
      <c r="M51" s="13" t="n">
        <f aca="false">IF(J51&gt;=0,1,0)</f>
        <v>1</v>
      </c>
      <c r="N51" s="28" t="n">
        <f aca="false">IF(K51=L51,1,0)</f>
        <v>1</v>
      </c>
      <c r="O51" s="28" t="n">
        <f aca="false">IF(K51=M51,1,0)</f>
        <v>1</v>
      </c>
      <c r="P51" s="28" t="n">
        <f aca="false">IF(L51=M51,1,0)</f>
        <v>1</v>
      </c>
    </row>
    <row r="52" customFormat="false" ht="15" hidden="false" customHeight="true" outlineLevel="0" collapsed="false">
      <c r="B52" s="13" t="n">
        <v>44</v>
      </c>
      <c r="C52" s="27" t="n">
        <v>-1.04</v>
      </c>
      <c r="D52" s="27" t="n">
        <v>-2.03</v>
      </c>
      <c r="E52" s="27" t="n">
        <v>1.22</v>
      </c>
      <c r="F52" s="27" t="n">
        <v>-0.7</v>
      </c>
      <c r="G52" s="27" t="n">
        <v>-0.59</v>
      </c>
      <c r="H52" s="20" t="n">
        <f aca="false">'1 The Vectors'!$C$9*C52+'1 The Vectors'!$C$10*D52+'1 The Vectors'!$C$11*E52+'1 The Vectors'!$C$12*F52+'1 The Vectors'!$C$13*G52</f>
        <v>-8.85</v>
      </c>
      <c r="I52" s="20" t="n">
        <f aca="false">'1 The Vectors'!$D$9*C52+'1 The Vectors'!$D$10*D52+'1 The Vectors'!$D$11*E52+'1 The Vectors'!$D$12*F52+'1 The Vectors'!$D$13*G52</f>
        <v>-6.54</v>
      </c>
      <c r="J52" s="20" t="n">
        <f aca="false">'1 The Vectors'!$E$9*C52+'1 The Vectors'!$E$10*D52+'1 The Vectors'!$E$11*E52+'1 The Vectors'!$E$12*F52+'1 The Vectors'!$E$13*G52</f>
        <v>-5.86</v>
      </c>
      <c r="K52" s="13" t="n">
        <f aca="false">IF(H52&gt;=0,1,0)</f>
        <v>0</v>
      </c>
      <c r="L52" s="13" t="n">
        <f aca="false">IF(I52&gt;=0,1,0)</f>
        <v>0</v>
      </c>
      <c r="M52" s="13" t="n">
        <f aca="false">IF(J52&gt;=0,1,0)</f>
        <v>0</v>
      </c>
      <c r="N52" s="28" t="n">
        <f aca="false">IF(K52=L52,1,0)</f>
        <v>1</v>
      </c>
      <c r="O52" s="28" t="n">
        <f aca="false">IF(K52=M52,1,0)</f>
        <v>1</v>
      </c>
      <c r="P52" s="28" t="n">
        <f aca="false">IF(L52=M52,1,0)</f>
        <v>1</v>
      </c>
    </row>
    <row r="53" customFormat="false" ht="15" hidden="false" customHeight="true" outlineLevel="0" collapsed="false">
      <c r="B53" s="13" t="n">
        <v>45</v>
      </c>
      <c r="C53" s="27" t="n">
        <v>-0.03</v>
      </c>
      <c r="D53" s="27" t="n">
        <v>1.99</v>
      </c>
      <c r="E53" s="27" t="n">
        <v>-1.73</v>
      </c>
      <c r="F53" s="27" t="n">
        <v>0.25</v>
      </c>
      <c r="G53" s="27" t="n">
        <v>-0.4</v>
      </c>
      <c r="H53" s="20" t="n">
        <f aca="false">'1 The Vectors'!$C$9*C53+'1 The Vectors'!$C$10*D53+'1 The Vectors'!$C$11*E53+'1 The Vectors'!$C$12*F53+'1 The Vectors'!$C$13*G53</f>
        <v>2.36</v>
      </c>
      <c r="I53" s="20" t="n">
        <f aca="false">'1 The Vectors'!$D$9*C53+'1 The Vectors'!$D$10*D53+'1 The Vectors'!$D$11*E53+'1 The Vectors'!$D$12*F53+'1 The Vectors'!$D$13*G53</f>
        <v>2.71</v>
      </c>
      <c r="J53" s="20" t="n">
        <f aca="false">'1 The Vectors'!$E$9*C53+'1 The Vectors'!$E$10*D53+'1 The Vectors'!$E$11*E53+'1 The Vectors'!$E$12*F53+'1 The Vectors'!$E$13*G53</f>
        <v>-0.35</v>
      </c>
      <c r="K53" s="13" t="n">
        <f aca="false">IF(H53&gt;=0,1,0)</f>
        <v>1</v>
      </c>
      <c r="L53" s="13" t="n">
        <f aca="false">IF(I53&gt;=0,1,0)</f>
        <v>1</v>
      </c>
      <c r="M53" s="13" t="n">
        <f aca="false">IF(J53&gt;=0,1,0)</f>
        <v>0</v>
      </c>
      <c r="N53" s="28" t="n">
        <f aca="false">IF(K53=L53,1,0)</f>
        <v>1</v>
      </c>
      <c r="O53" s="28" t="n">
        <f aca="false">IF(K53=M53,1,0)</f>
        <v>0</v>
      </c>
      <c r="P53" s="28" t="n">
        <f aca="false">IF(L53=M53,1,0)</f>
        <v>0</v>
      </c>
    </row>
    <row r="54" customFormat="false" ht="15" hidden="false" customHeight="true" outlineLevel="0" collapsed="false">
      <c r="B54" s="13" t="n">
        <v>46</v>
      </c>
      <c r="C54" s="27" t="n">
        <v>0.53</v>
      </c>
      <c r="D54" s="27" t="n">
        <v>-1.8</v>
      </c>
      <c r="E54" s="27" t="n">
        <v>-0.4</v>
      </c>
      <c r="F54" s="27" t="n">
        <v>0.84</v>
      </c>
      <c r="G54" s="27" t="n">
        <v>1.56</v>
      </c>
      <c r="H54" s="20" t="n">
        <f aca="false">'1 The Vectors'!$C$9*C54+'1 The Vectors'!$C$10*D54+'1 The Vectors'!$C$11*E54+'1 The Vectors'!$C$12*F54+'1 The Vectors'!$C$13*G54</f>
        <v>-3.55</v>
      </c>
      <c r="I54" s="20" t="n">
        <f aca="false">'1 The Vectors'!$D$9*C54+'1 The Vectors'!$D$10*D54+'1 The Vectors'!$D$11*E54+'1 The Vectors'!$D$12*F54+'1 The Vectors'!$D$13*G54</f>
        <v>-7.34</v>
      </c>
      <c r="J54" s="20" t="n">
        <f aca="false">'1 The Vectors'!$E$9*C54+'1 The Vectors'!$E$10*D54+'1 The Vectors'!$E$11*E54+'1 The Vectors'!$E$12*F54+'1 The Vectors'!$E$13*G54</f>
        <v>10.44</v>
      </c>
      <c r="K54" s="13" t="n">
        <f aca="false">IF(H54&gt;=0,1,0)</f>
        <v>0</v>
      </c>
      <c r="L54" s="13" t="n">
        <f aca="false">IF(I54&gt;=0,1,0)</f>
        <v>0</v>
      </c>
      <c r="M54" s="13" t="n">
        <f aca="false">IF(J54&gt;=0,1,0)</f>
        <v>1</v>
      </c>
      <c r="N54" s="28" t="n">
        <f aca="false">IF(K54=L54,1,0)</f>
        <v>1</v>
      </c>
      <c r="O54" s="28" t="n">
        <f aca="false">IF(K54=M54,1,0)</f>
        <v>0</v>
      </c>
      <c r="P54" s="28" t="n">
        <f aca="false">IF(L54=M54,1,0)</f>
        <v>0</v>
      </c>
    </row>
    <row r="55" customFormat="false" ht="15" hidden="false" customHeight="true" outlineLevel="0" collapsed="false">
      <c r="B55" s="13" t="n">
        <v>47</v>
      </c>
      <c r="C55" s="27" t="n">
        <v>1.6</v>
      </c>
      <c r="D55" s="27" t="n">
        <v>-0.85</v>
      </c>
      <c r="E55" s="27" t="n">
        <v>0.05</v>
      </c>
      <c r="F55" s="27" t="n">
        <v>-0.11</v>
      </c>
      <c r="G55" s="27" t="n">
        <v>-1.38</v>
      </c>
      <c r="H55" s="20" t="n">
        <f aca="false">'1 The Vectors'!$C$9*C55+'1 The Vectors'!$C$10*D55+'1 The Vectors'!$C$11*E55+'1 The Vectors'!$C$12*F55+'1 The Vectors'!$C$13*G55</f>
        <v>5.55</v>
      </c>
      <c r="I55" s="20" t="n">
        <f aca="false">'1 The Vectors'!$D$9*C55+'1 The Vectors'!$D$10*D55+'1 The Vectors'!$D$11*E55+'1 The Vectors'!$D$12*F55+'1 The Vectors'!$D$13*G55</f>
        <v>-0.0499999999999997</v>
      </c>
      <c r="J55" s="20" t="n">
        <f aca="false">'1 The Vectors'!$E$9*C55+'1 The Vectors'!$E$10*D55+'1 The Vectors'!$E$11*E55+'1 The Vectors'!$E$12*F55+'1 The Vectors'!$E$13*G55</f>
        <v>-6.07</v>
      </c>
      <c r="K55" s="13" t="n">
        <f aca="false">IF(H55&gt;=0,1,0)</f>
        <v>1</v>
      </c>
      <c r="L55" s="13" t="n">
        <f aca="false">IF(I55&gt;=0,1,0)</f>
        <v>0</v>
      </c>
      <c r="M55" s="13" t="n">
        <f aca="false">IF(J55&gt;=0,1,0)</f>
        <v>0</v>
      </c>
      <c r="N55" s="28" t="n">
        <f aca="false">IF(K55=L55,1,0)</f>
        <v>0</v>
      </c>
      <c r="O55" s="28" t="n">
        <f aca="false">IF(K55=M55,1,0)</f>
        <v>0</v>
      </c>
      <c r="P55" s="28" t="n">
        <f aca="false">IF(L55=M55,1,0)</f>
        <v>1</v>
      </c>
    </row>
    <row r="56" customFormat="false" ht="15" hidden="false" customHeight="true" outlineLevel="0" collapsed="false">
      <c r="B56" s="13" t="n">
        <v>48</v>
      </c>
      <c r="C56" s="27" t="n">
        <v>-1.44</v>
      </c>
      <c r="D56" s="27" t="n">
        <v>0.76</v>
      </c>
      <c r="E56" s="27" t="n">
        <v>0.25</v>
      </c>
      <c r="F56" s="27" t="n">
        <v>-0.14</v>
      </c>
      <c r="G56" s="27" t="n">
        <v>1.22</v>
      </c>
      <c r="H56" s="20" t="n">
        <f aca="false">'1 The Vectors'!$C$9*C56+'1 The Vectors'!$C$10*D56+'1 The Vectors'!$C$11*E56+'1 The Vectors'!$C$12*F56+'1 The Vectors'!$C$13*G56</f>
        <v>-4.42</v>
      </c>
      <c r="I56" s="20" t="n">
        <f aca="false">'1 The Vectors'!$D$9*C56+'1 The Vectors'!$D$10*D56+'1 The Vectors'!$D$11*E56+'1 The Vectors'!$D$12*F56+'1 The Vectors'!$D$13*G56</f>
        <v>0.91</v>
      </c>
      <c r="J56" s="20" t="n">
        <f aca="false">'1 The Vectors'!$E$9*C56+'1 The Vectors'!$E$10*D56+'1 The Vectors'!$E$11*E56+'1 The Vectors'!$E$12*F56+'1 The Vectors'!$E$13*G56</f>
        <v>4.18</v>
      </c>
      <c r="K56" s="13" t="n">
        <f aca="false">IF(H56&gt;=0,1,0)</f>
        <v>0</v>
      </c>
      <c r="L56" s="13" t="n">
        <f aca="false">IF(I56&gt;=0,1,0)</f>
        <v>1</v>
      </c>
      <c r="M56" s="13" t="n">
        <f aca="false">IF(J56&gt;=0,1,0)</f>
        <v>1</v>
      </c>
      <c r="N56" s="28" t="n">
        <f aca="false">IF(K56=L56,1,0)</f>
        <v>0</v>
      </c>
      <c r="O56" s="28" t="n">
        <f aca="false">IF(K56=M56,1,0)</f>
        <v>0</v>
      </c>
      <c r="P56" s="28" t="n">
        <f aca="false">IF(L56=M56,1,0)</f>
        <v>1</v>
      </c>
    </row>
    <row r="58" customFormat="false" ht="15" hidden="false" customHeight="true" outlineLevel="0" collapsed="false">
      <c r="B58" s="21" t="s">
        <v>94</v>
      </c>
      <c r="C58" s="21"/>
      <c r="D58" s="21"/>
      <c r="E58" s="21"/>
      <c r="F58" s="21"/>
      <c r="G58" s="21"/>
      <c r="H58" s="21"/>
      <c r="I58" s="21"/>
      <c r="J58" s="21"/>
      <c r="K58" s="21"/>
      <c r="L58" s="21"/>
      <c r="M58" s="21"/>
      <c r="N58" s="21"/>
      <c r="O58" s="21"/>
      <c r="P58" s="21"/>
    </row>
    <row r="59" customFormat="false" ht="45.75" hidden="false" customHeight="true" outlineLevel="0" collapsed="false">
      <c r="B59" s="12" t="s">
        <v>53</v>
      </c>
      <c r="C59" s="12" t="s">
        <v>95</v>
      </c>
      <c r="D59" s="12" t="s">
        <v>96</v>
      </c>
      <c r="E59" s="12" t="s">
        <v>97</v>
      </c>
      <c r="F59" s="12" t="s">
        <v>98</v>
      </c>
      <c r="G59" s="12" t="s">
        <v>99</v>
      </c>
    </row>
    <row r="60" customFormat="false" ht="15" hidden="false" customHeight="true" outlineLevel="0" collapsed="false">
      <c r="B60" s="17" t="s">
        <v>59</v>
      </c>
      <c r="C60" s="13" t="n">
        <f aca="false">SUM(N9:N56)</f>
        <v>39</v>
      </c>
      <c r="D60" s="19" t="n">
        <f aca="false">C60/48</f>
        <v>0.8125</v>
      </c>
      <c r="E60" s="20" t="n">
        <f aca="false">180*(1-D60)</f>
        <v>33.75</v>
      </c>
      <c r="F60" s="19" t="n">
        <f aca="false">COS(PI()*(1-D60))</f>
        <v>0.831469612302545</v>
      </c>
      <c r="G60" s="19" t="n">
        <f aca="false">'2 Cosine Similarity'!$F$8</f>
        <v>0.843465326380289</v>
      </c>
    </row>
    <row r="61" customFormat="false" ht="15" hidden="false" customHeight="true" outlineLevel="0" collapsed="false">
      <c r="B61" s="17" t="s">
        <v>60</v>
      </c>
      <c r="C61" s="13" t="n">
        <f aca="false">SUM(O9:O56)</f>
        <v>22</v>
      </c>
      <c r="D61" s="19" t="n">
        <f aca="false">C61/48</f>
        <v>0.458333333333333</v>
      </c>
      <c r="E61" s="20" t="n">
        <f aca="false">180*(1-D61)</f>
        <v>97.5</v>
      </c>
      <c r="F61" s="19" t="n">
        <f aca="false">COS(PI()*(1-D61))</f>
        <v>-0.130526192220052</v>
      </c>
      <c r="G61" s="19" t="n">
        <f aca="false">'2 Cosine Similarity'!$F$9</f>
        <v>0</v>
      </c>
    </row>
    <row r="62" customFormat="false" ht="15" hidden="false" customHeight="true" outlineLevel="0" collapsed="false">
      <c r="B62" s="17" t="s">
        <v>61</v>
      </c>
      <c r="C62" s="13" t="n">
        <f aca="false">SUM(P9:P56)</f>
        <v>27</v>
      </c>
      <c r="D62" s="19" t="n">
        <f aca="false">C62/48</f>
        <v>0.5625</v>
      </c>
      <c r="E62" s="20" t="n">
        <f aca="false">180*(1-D62)</f>
        <v>78.75</v>
      </c>
      <c r="F62" s="19" t="n">
        <f aca="false">COS(PI()*(1-D62))</f>
        <v>0.195090322016128</v>
      </c>
      <c r="G62" s="19" t="n">
        <f aca="false">'2 Cosine Similarity'!$F$10</f>
        <v>0</v>
      </c>
    </row>
    <row r="64" customFormat="false" ht="15" hidden="false" customHeight="true" outlineLevel="0" collapsed="false">
      <c r="B64" s="16" t="s">
        <v>100</v>
      </c>
      <c r="C64" s="16"/>
      <c r="D64" s="16"/>
      <c r="E64" s="16"/>
      <c r="F64" s="16"/>
      <c r="G64" s="16"/>
      <c r="H64" s="16"/>
      <c r="I64" s="16"/>
      <c r="J64" s="16"/>
      <c r="K64" s="16"/>
      <c r="L64" s="16"/>
      <c r="M64" s="16"/>
      <c r="N64" s="16"/>
      <c r="O64" s="16"/>
      <c r="P64" s="16"/>
    </row>
    <row r="65" customFormat="false" ht="15" hidden="false" customHeight="true" outlineLevel="0" collapsed="false">
      <c r="B65" s="16"/>
      <c r="C65" s="16"/>
      <c r="D65" s="16"/>
      <c r="E65" s="16"/>
      <c r="F65" s="16"/>
      <c r="G65" s="16"/>
      <c r="H65" s="16"/>
      <c r="I65" s="16"/>
      <c r="J65" s="16"/>
      <c r="K65" s="16"/>
      <c r="L65" s="16"/>
      <c r="M65" s="16"/>
      <c r="N65" s="16"/>
      <c r="O65" s="16"/>
      <c r="P65" s="16"/>
    </row>
  </sheetData>
  <mergeCells count="4">
    <mergeCell ref="B3:P5"/>
    <mergeCell ref="B7:P7"/>
    <mergeCell ref="B58:P58"/>
    <mergeCell ref="B64:P65"/>
  </mergeCells>
  <conditionalFormatting sqref="N9:P56">
    <cfRule type="expression" priority="2" aboveAverage="0" equalAverage="0" bottom="0" percent="0" rank="0" text="" dxfId="0">
      <formula>N9=1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5" min="3" style="1" width="14"/>
    <col collapsed="false" customWidth="true" hidden="false" outlineLevel="0" max="7" min="6" style="1" width="18"/>
    <col collapsed="false" customWidth="true" hidden="false" outlineLevel="0" max="10" min="8" style="1" width="8"/>
  </cols>
  <sheetData>
    <row r="2" customFormat="false" ht="19.5" hidden="false" customHeight="true" outlineLevel="0" collapsed="false">
      <c r="B2" s="2" t="s">
        <v>101</v>
      </c>
    </row>
    <row r="3" customFormat="false" ht="15" hidden="false" customHeight="true" outlineLevel="0" collapsed="false">
      <c r="B3" s="5" t="s">
        <v>102</v>
      </c>
      <c r="C3" s="5"/>
      <c r="D3" s="5"/>
      <c r="E3" s="5"/>
      <c r="F3" s="5"/>
      <c r="G3" s="5"/>
      <c r="H3" s="5"/>
      <c r="I3" s="5"/>
    </row>
    <row r="4" customFormat="false" ht="15" hidden="false" customHeight="true" outlineLevel="0" collapsed="false">
      <c r="B4" s="5"/>
      <c r="C4" s="5"/>
      <c r="D4" s="5"/>
      <c r="E4" s="5"/>
      <c r="F4" s="5"/>
      <c r="G4" s="5"/>
      <c r="H4" s="5"/>
      <c r="I4" s="5"/>
    </row>
    <row r="5" customFormat="false" ht="15" hidden="false" customHeight="true" outlineLevel="0" collapsed="false">
      <c r="B5" s="5"/>
      <c r="C5" s="5"/>
      <c r="D5" s="5"/>
      <c r="E5" s="5"/>
      <c r="F5" s="5"/>
      <c r="G5" s="5"/>
      <c r="H5" s="5"/>
      <c r="I5" s="5"/>
    </row>
    <row r="6" customFormat="false" ht="15" hidden="false" customHeight="true" outlineLevel="0" collapsed="false">
      <c r="B6" s="5"/>
      <c r="C6" s="5"/>
      <c r="D6" s="5"/>
      <c r="E6" s="5"/>
      <c r="F6" s="5"/>
      <c r="G6" s="5"/>
      <c r="H6" s="5"/>
      <c r="I6" s="5"/>
    </row>
    <row r="8" customFormat="false" ht="15" hidden="false" customHeight="true" outlineLevel="0" collapsed="false">
      <c r="B8" s="12" t="s">
        <v>103</v>
      </c>
      <c r="C8" s="12" t="s">
        <v>104</v>
      </c>
      <c r="D8" s="12"/>
      <c r="E8" s="12" t="s">
        <v>105</v>
      </c>
      <c r="F8" s="12" t="s">
        <v>106</v>
      </c>
      <c r="G8" s="12" t="s">
        <v>107</v>
      </c>
      <c r="H8" s="12" t="s">
        <v>108</v>
      </c>
      <c r="I8" s="12" t="s">
        <v>109</v>
      </c>
      <c r="J8" s="12" t="s">
        <v>110</v>
      </c>
    </row>
    <row r="9" customFormat="false" ht="15" hidden="false" customHeight="true" outlineLevel="0" collapsed="false">
      <c r="B9" s="17" t="s">
        <v>111</v>
      </c>
      <c r="C9" s="13" t="s">
        <v>112</v>
      </c>
      <c r="D9" s="7"/>
      <c r="E9" s="13" t="str">
        <f aca="false">'3 SimHash'!K9&amp;'3 SimHash'!K10&amp;'3 SimHash'!K11&amp;'3 SimHash'!K12&amp;'3 SimHash'!K13&amp;'3 SimHash'!K14</f>
        <v>111001</v>
      </c>
      <c r="F9" s="13" t="str">
        <f aca="false">'3 SimHash'!L9&amp;'3 SimHash'!L10&amp;'3 SimHash'!L11&amp;'3 SimHash'!L12&amp;'3 SimHash'!L13&amp;'3 SimHash'!L14</f>
        <v>111001</v>
      </c>
      <c r="G9" s="13" t="str">
        <f aca="false">'3 SimHash'!M9&amp;'3 SimHash'!M10&amp;'3 SimHash'!M11&amp;'3 SimHash'!M12&amp;'3 SimHash'!M13&amp;'3 SimHash'!M14</f>
        <v>110000</v>
      </c>
      <c r="H9" s="28" t="str">
        <f aca="false">IF(E9=F9,"SAME","-")</f>
        <v>SAME</v>
      </c>
      <c r="I9" s="28" t="str">
        <f aca="false">IF(E9=G9,"SAME","-")</f>
        <v>-</v>
      </c>
      <c r="J9" s="28" t="str">
        <f aca="false">IF(F9=G9,"SAME","-")</f>
        <v>-</v>
      </c>
    </row>
    <row r="10" customFormat="false" ht="15" hidden="false" customHeight="true" outlineLevel="0" collapsed="false">
      <c r="B10" s="17" t="s">
        <v>113</v>
      </c>
      <c r="C10" s="13" t="s">
        <v>114</v>
      </c>
      <c r="D10" s="7"/>
      <c r="E10" s="13" t="str">
        <f aca="false">'3 SimHash'!K15&amp;'3 SimHash'!K16&amp;'3 SimHash'!K17&amp;'3 SimHash'!K18&amp;'3 SimHash'!K19&amp;'3 SimHash'!K20</f>
        <v>011000</v>
      </c>
      <c r="F10" s="13" t="str">
        <f aca="false">'3 SimHash'!L15&amp;'3 SimHash'!L16&amp;'3 SimHash'!L17&amp;'3 SimHash'!L18&amp;'3 SimHash'!L19&amp;'3 SimHash'!L20</f>
        <v>010000</v>
      </c>
      <c r="G10" s="13" t="str">
        <f aca="false">'3 SimHash'!M15&amp;'3 SimHash'!M16&amp;'3 SimHash'!M17&amp;'3 SimHash'!M18&amp;'3 SimHash'!M19&amp;'3 SimHash'!M20</f>
        <v>010001</v>
      </c>
      <c r="H10" s="28" t="str">
        <f aca="false">IF(E10=F10,"SAME","-")</f>
        <v>-</v>
      </c>
      <c r="I10" s="28" t="str">
        <f aca="false">IF(E10=G10,"SAME","-")</f>
        <v>-</v>
      </c>
      <c r="J10" s="28" t="str">
        <f aca="false">IF(F10=G10,"SAME","-")</f>
        <v>-</v>
      </c>
    </row>
    <row r="11" customFormat="false" ht="15" hidden="false" customHeight="true" outlineLevel="0" collapsed="false">
      <c r="B11" s="17" t="s">
        <v>115</v>
      </c>
      <c r="C11" s="13" t="s">
        <v>116</v>
      </c>
      <c r="D11" s="7"/>
      <c r="E11" s="13" t="str">
        <f aca="false">'3 SimHash'!K21&amp;'3 SimHash'!K22&amp;'3 SimHash'!K23&amp;'3 SimHash'!K24&amp;'3 SimHash'!K25&amp;'3 SimHash'!K26</f>
        <v>010001</v>
      </c>
      <c r="F11" s="13" t="str">
        <f aca="false">'3 SimHash'!L21&amp;'3 SimHash'!L22&amp;'3 SimHash'!L23&amp;'3 SimHash'!L24&amp;'3 SimHash'!L25&amp;'3 SimHash'!L26</f>
        <v>010000</v>
      </c>
      <c r="G11" s="13" t="str">
        <f aca="false">'3 SimHash'!M21&amp;'3 SimHash'!M22&amp;'3 SimHash'!M23&amp;'3 SimHash'!M24&amp;'3 SimHash'!M25&amp;'3 SimHash'!M26</f>
        <v>011001</v>
      </c>
      <c r="H11" s="28" t="str">
        <f aca="false">IF(E11=F11,"SAME","-")</f>
        <v>-</v>
      </c>
      <c r="I11" s="28" t="str">
        <f aca="false">IF(E11=G11,"SAME","-")</f>
        <v>-</v>
      </c>
      <c r="J11" s="28" t="str">
        <f aca="false">IF(F11=G11,"SAME","-")</f>
        <v>-</v>
      </c>
    </row>
    <row r="12" customFormat="false" ht="15" hidden="false" customHeight="true" outlineLevel="0" collapsed="false">
      <c r="B12" s="17" t="s">
        <v>117</v>
      </c>
      <c r="C12" s="13" t="s">
        <v>118</v>
      </c>
      <c r="D12" s="7"/>
      <c r="E12" s="13" t="str">
        <f aca="false">'3 SimHash'!K27&amp;'3 SimHash'!K28&amp;'3 SimHash'!K29&amp;'3 SimHash'!K30&amp;'3 SimHash'!K31&amp;'3 SimHash'!K32</f>
        <v>110011</v>
      </c>
      <c r="F12" s="13" t="str">
        <f aca="false">'3 SimHash'!L27&amp;'3 SimHash'!L28&amp;'3 SimHash'!L29&amp;'3 SimHash'!L30&amp;'3 SimHash'!L31&amp;'3 SimHash'!L32</f>
        <v>110011</v>
      </c>
      <c r="G12" s="13" t="str">
        <f aca="false">'3 SimHash'!M27&amp;'3 SimHash'!M28&amp;'3 SimHash'!M29&amp;'3 SimHash'!M30&amp;'3 SimHash'!M31&amp;'3 SimHash'!M32</f>
        <v>001100</v>
      </c>
      <c r="H12" s="28" t="str">
        <f aca="false">IF(E12=F12,"SAME","-")</f>
        <v>SAME</v>
      </c>
      <c r="I12" s="28" t="str">
        <f aca="false">IF(E12=G12,"SAME","-")</f>
        <v>-</v>
      </c>
      <c r="J12" s="28" t="str">
        <f aca="false">IF(F12=G12,"SAME","-")</f>
        <v>-</v>
      </c>
    </row>
    <row r="13" customFormat="false" ht="15" hidden="false" customHeight="true" outlineLevel="0" collapsed="false">
      <c r="B13" s="17" t="s">
        <v>119</v>
      </c>
      <c r="C13" s="13" t="s">
        <v>120</v>
      </c>
      <c r="D13" s="7"/>
      <c r="E13" s="13" t="str">
        <f aca="false">'3 SimHash'!K33&amp;'3 SimHash'!K34&amp;'3 SimHash'!K35&amp;'3 SimHash'!K36&amp;'3 SimHash'!K37&amp;'3 SimHash'!K38</f>
        <v>001101</v>
      </c>
      <c r="F13" s="13" t="str">
        <f aca="false">'3 SimHash'!L33&amp;'3 SimHash'!L34&amp;'3 SimHash'!L35&amp;'3 SimHash'!L36&amp;'3 SimHash'!L37&amp;'3 SimHash'!L38</f>
        <v>001101</v>
      </c>
      <c r="G13" s="13" t="str">
        <f aca="false">'3 SimHash'!M33&amp;'3 SimHash'!M34&amp;'3 SimHash'!M35&amp;'3 SimHash'!M36&amp;'3 SimHash'!M37&amp;'3 SimHash'!M38</f>
        <v>000101</v>
      </c>
      <c r="H13" s="28" t="str">
        <f aca="false">IF(E13=F13,"SAME","-")</f>
        <v>SAME</v>
      </c>
      <c r="I13" s="28" t="str">
        <f aca="false">IF(E13=G13,"SAME","-")</f>
        <v>-</v>
      </c>
      <c r="J13" s="28" t="str">
        <f aca="false">IF(F13=G13,"SAME","-")</f>
        <v>-</v>
      </c>
    </row>
    <row r="14" customFormat="false" ht="15" hidden="false" customHeight="true" outlineLevel="0" collapsed="false">
      <c r="B14" s="17" t="s">
        <v>121</v>
      </c>
      <c r="C14" s="13" t="s">
        <v>122</v>
      </c>
      <c r="D14" s="7"/>
      <c r="E14" s="13" t="str">
        <f aca="false">'3 SimHash'!K39&amp;'3 SimHash'!K40&amp;'3 SimHash'!K41&amp;'3 SimHash'!K42&amp;'3 SimHash'!K43&amp;'3 SimHash'!K44</f>
        <v>001001</v>
      </c>
      <c r="F14" s="13" t="str">
        <f aca="false">'3 SimHash'!L39&amp;'3 SimHash'!L40&amp;'3 SimHash'!L41&amp;'3 SimHash'!L42&amp;'3 SimHash'!L43&amp;'3 SimHash'!L44</f>
        <v>000000</v>
      </c>
      <c r="G14" s="13" t="str">
        <f aca="false">'3 SimHash'!M39&amp;'3 SimHash'!M40&amp;'3 SimHash'!M41&amp;'3 SimHash'!M42&amp;'3 SimHash'!M43&amp;'3 SimHash'!M44</f>
        <v>110101</v>
      </c>
      <c r="H14" s="28" t="str">
        <f aca="false">IF(E14=F14,"SAME","-")</f>
        <v>-</v>
      </c>
      <c r="I14" s="28" t="str">
        <f aca="false">IF(E14=G14,"SAME","-")</f>
        <v>-</v>
      </c>
      <c r="J14" s="28" t="str">
        <f aca="false">IF(F14=G14,"SAME","-")</f>
        <v>-</v>
      </c>
    </row>
    <row r="15" customFormat="false" ht="15" hidden="false" customHeight="true" outlineLevel="0" collapsed="false">
      <c r="B15" s="17" t="s">
        <v>123</v>
      </c>
      <c r="C15" s="13" t="s">
        <v>124</v>
      </c>
      <c r="D15" s="7"/>
      <c r="E15" s="13" t="str">
        <f aca="false">'3 SimHash'!K45&amp;'3 SimHash'!K46&amp;'3 SimHash'!K47&amp;'3 SimHash'!K48&amp;'3 SimHash'!K49&amp;'3 SimHash'!K50</f>
        <v>011000</v>
      </c>
      <c r="F15" s="13" t="str">
        <f aca="false">'3 SimHash'!L45&amp;'3 SimHash'!L46&amp;'3 SimHash'!L47&amp;'3 SimHash'!L48&amp;'3 SimHash'!L49&amp;'3 SimHash'!L50</f>
        <v>110001</v>
      </c>
      <c r="G15" s="13" t="str">
        <f aca="false">'3 SimHash'!M45&amp;'3 SimHash'!M46&amp;'3 SimHash'!M47&amp;'3 SimHash'!M48&amp;'3 SimHash'!M49&amp;'3 SimHash'!M50</f>
        <v>100111</v>
      </c>
      <c r="H15" s="28" t="str">
        <f aca="false">IF(E15=F15,"SAME","-")</f>
        <v>-</v>
      </c>
      <c r="I15" s="28" t="str">
        <f aca="false">IF(E15=G15,"SAME","-")</f>
        <v>-</v>
      </c>
      <c r="J15" s="28" t="str">
        <f aca="false">IF(F15=G15,"SAME","-")</f>
        <v>-</v>
      </c>
    </row>
    <row r="16" customFormat="false" ht="15" hidden="false" customHeight="true" outlineLevel="0" collapsed="false">
      <c r="B16" s="17" t="s">
        <v>125</v>
      </c>
      <c r="C16" s="13" t="s">
        <v>126</v>
      </c>
      <c r="D16" s="7"/>
      <c r="E16" s="13" t="str">
        <f aca="false">'3 SimHash'!K51&amp;'3 SimHash'!K52&amp;'3 SimHash'!K53&amp;'3 SimHash'!K54&amp;'3 SimHash'!K55&amp;'3 SimHash'!K56</f>
        <v>101010</v>
      </c>
      <c r="F16" s="13" t="str">
        <f aca="false">'3 SimHash'!L51&amp;'3 SimHash'!L52&amp;'3 SimHash'!L53&amp;'3 SimHash'!L54&amp;'3 SimHash'!L55&amp;'3 SimHash'!L56</f>
        <v>101001</v>
      </c>
      <c r="G16" s="13" t="str">
        <f aca="false">'3 SimHash'!M51&amp;'3 SimHash'!M52&amp;'3 SimHash'!M53&amp;'3 SimHash'!M54&amp;'3 SimHash'!M55&amp;'3 SimHash'!M56</f>
        <v>100101</v>
      </c>
      <c r="H16" s="28" t="str">
        <f aca="false">IF(E16=F16,"SAME","-")</f>
        <v>-</v>
      </c>
      <c r="I16" s="28" t="str">
        <f aca="false">IF(E16=G16,"SAME","-")</f>
        <v>-</v>
      </c>
      <c r="J16" s="28" t="str">
        <f aca="false">IF(F16=G16,"SAME","-")</f>
        <v>-</v>
      </c>
    </row>
    <row r="18" customFormat="false" ht="15" hidden="false" customHeight="true" outlineLevel="0" collapsed="false">
      <c r="B18" s="21" t="s">
        <v>127</v>
      </c>
      <c r="C18" s="21"/>
      <c r="D18" s="21"/>
      <c r="E18" s="21"/>
      <c r="F18" s="21"/>
      <c r="G18" s="21"/>
      <c r="H18" s="21"/>
      <c r="I18" s="21"/>
      <c r="J18" s="21"/>
    </row>
    <row r="19" customFormat="false" ht="15" hidden="false" customHeight="true" outlineLevel="0" collapsed="false">
      <c r="B19" s="12" t="s">
        <v>53</v>
      </c>
      <c r="C19" s="12" t="s">
        <v>128</v>
      </c>
      <c r="D19" s="12" t="s">
        <v>129</v>
      </c>
      <c r="E19" s="12"/>
      <c r="F19" s="12" t="s">
        <v>130</v>
      </c>
      <c r="G19" s="12"/>
      <c r="H19" s="12"/>
      <c r="I19" s="12"/>
      <c r="J19" s="12"/>
    </row>
    <row r="20" customFormat="false" ht="15" hidden="false" customHeight="true" outlineLevel="0" collapsed="false">
      <c r="B20" s="17" t="s">
        <v>59</v>
      </c>
      <c r="C20" s="13" t="n">
        <f aca="false">COUNTIF(H9:H16,"SAME")</f>
        <v>3</v>
      </c>
      <c r="D20" s="13" t="str">
        <f aca="false">IF(C20&gt;0,"YES - compare","no")</f>
        <v>YES - compare</v>
      </c>
      <c r="E20" s="13"/>
      <c r="F20" s="9" t="s">
        <v>131</v>
      </c>
      <c r="G20" s="9"/>
      <c r="H20" s="9"/>
      <c r="I20" s="9"/>
      <c r="J20" s="9"/>
    </row>
    <row r="21" customFormat="false" ht="15" hidden="false" customHeight="true" outlineLevel="0" collapsed="false">
      <c r="B21" s="17" t="s">
        <v>60</v>
      </c>
      <c r="C21" s="13" t="n">
        <f aca="false">COUNTIF(I9:I16,"SAME")</f>
        <v>0</v>
      </c>
      <c r="D21" s="13" t="str">
        <f aca="false">IF(C21&gt;0,"YES - compare","no")</f>
        <v>no</v>
      </c>
      <c r="E21" s="13"/>
      <c r="F21" s="9" t="s">
        <v>132</v>
      </c>
      <c r="G21" s="9"/>
      <c r="H21" s="9"/>
      <c r="I21" s="9"/>
      <c r="J21" s="9"/>
    </row>
    <row r="22" customFormat="false" ht="15" hidden="false" customHeight="true" outlineLevel="0" collapsed="false">
      <c r="B22" s="17" t="s">
        <v>61</v>
      </c>
      <c r="C22" s="13" t="n">
        <f aca="false">COUNTIF(J9:J16,"SAME")</f>
        <v>0</v>
      </c>
      <c r="D22" s="13" t="str">
        <f aca="false">IF(C22&gt;0,"YES - compare","no")</f>
        <v>no</v>
      </c>
      <c r="E22" s="13"/>
      <c r="F22" s="9" t="s">
        <v>132</v>
      </c>
      <c r="G22" s="9"/>
      <c r="H22" s="9"/>
      <c r="I22" s="9"/>
      <c r="J22" s="9"/>
    </row>
    <row r="24" customFormat="false" ht="15" hidden="false" customHeight="true" outlineLevel="0" collapsed="false">
      <c r="B24" s="21" t="s">
        <v>133</v>
      </c>
      <c r="C24" s="21"/>
      <c r="D24" s="21"/>
      <c r="E24" s="21"/>
      <c r="F24" s="21"/>
      <c r="G24" s="21"/>
      <c r="H24" s="21"/>
      <c r="I24" s="21"/>
      <c r="J24" s="21"/>
    </row>
    <row r="25" customFormat="false" ht="15" hidden="false" customHeight="true" outlineLevel="0" collapsed="false">
      <c r="B25" s="16" t="s">
        <v>134</v>
      </c>
      <c r="C25" s="16"/>
      <c r="D25" s="16"/>
      <c r="E25" s="16"/>
      <c r="F25" s="16"/>
      <c r="G25" s="16"/>
      <c r="H25" s="16"/>
      <c r="I25" s="16"/>
      <c r="J25" s="16"/>
    </row>
    <row r="26" customFormat="false" ht="15" hidden="false" customHeight="true" outlineLevel="0" collapsed="false">
      <c r="B26" s="16"/>
      <c r="C26" s="16"/>
      <c r="D26" s="16"/>
      <c r="E26" s="16"/>
      <c r="F26" s="16"/>
      <c r="G26" s="16"/>
      <c r="H26" s="16"/>
      <c r="I26" s="16"/>
      <c r="J26" s="16"/>
    </row>
    <row r="27" customFormat="false" ht="15" hidden="false" customHeight="true" outlineLevel="0" collapsed="false">
      <c r="B27" s="12" t="s">
        <v>135</v>
      </c>
      <c r="C27" s="12" t="s">
        <v>136</v>
      </c>
      <c r="D27" s="12" t="s">
        <v>137</v>
      </c>
    </row>
    <row r="28" customFormat="false" ht="15" hidden="false" customHeight="true" outlineLevel="0" collapsed="false">
      <c r="B28" s="22" t="n">
        <v>-1</v>
      </c>
      <c r="C28" s="19" t="n">
        <f aca="false">1-DEGREES(ACOS(MAX(-1,MIN(1,B28))))/180</f>
        <v>0</v>
      </c>
      <c r="D28" s="19" t="n">
        <f aca="false">1-(1-C28^6)^8</f>
        <v>0</v>
      </c>
    </row>
    <row r="29" customFormat="false" ht="15" hidden="false" customHeight="true" outlineLevel="0" collapsed="false">
      <c r="B29" s="22" t="n">
        <v>-0.92</v>
      </c>
      <c r="C29" s="19" t="n">
        <f aca="false">1-DEGREES(ACOS(MAX(-1,MIN(1,B29))))/180</f>
        <v>0.12818843369795</v>
      </c>
      <c r="D29" s="19" t="n">
        <f aca="false">1-(1-C29^6)^8</f>
        <v>3.54957444287374E-005</v>
      </c>
    </row>
    <row r="30" customFormat="false" ht="15" hidden="false" customHeight="true" outlineLevel="0" collapsed="false">
      <c r="B30" s="22" t="n">
        <v>-0.84</v>
      </c>
      <c r="C30" s="19" t="n">
        <f aca="false">1-DEGREES(ACOS(MAX(-1,MIN(1,B30))))/180</f>
        <v>0.182554890993828</v>
      </c>
      <c r="D30" s="19" t="n">
        <f aca="false">1-(1-C30^6)^8</f>
        <v>0.000296070109207292</v>
      </c>
    </row>
    <row r="31" customFormat="false" ht="15" hidden="false" customHeight="true" outlineLevel="0" collapsed="false">
      <c r="B31" s="22" t="n">
        <v>-0.76</v>
      </c>
      <c r="C31" s="19" t="n">
        <f aca="false">1-DEGREES(ACOS(MAX(-1,MIN(1,B31))))/180</f>
        <v>0.225198900618425</v>
      </c>
      <c r="D31" s="19" t="n">
        <f aca="false">1-(1-C31^6)^8</f>
        <v>0.00104301204278356</v>
      </c>
    </row>
    <row r="32" customFormat="false" ht="15" hidden="false" customHeight="true" outlineLevel="0" collapsed="false">
      <c r="B32" s="22" t="n">
        <v>-0.68</v>
      </c>
      <c r="C32" s="19" t="n">
        <f aca="false">1-DEGREES(ACOS(MAX(-1,MIN(1,B32))))/180</f>
        <v>0.261979760868909</v>
      </c>
      <c r="D32" s="19" t="n">
        <f aca="false">1-(1-C32^6)^8</f>
        <v>0.00258347966975703</v>
      </c>
    </row>
    <row r="33" customFormat="false" ht="15" hidden="false" customHeight="true" outlineLevel="0" collapsed="false">
      <c r="B33" s="22" t="n">
        <v>-0.6</v>
      </c>
      <c r="C33" s="19" t="n">
        <f aca="false">1-DEGREES(ACOS(MAX(-1,MIN(1,B33))))/180</f>
        <v>0.295167235300867</v>
      </c>
      <c r="D33" s="19" t="n">
        <f aca="false">1-(1-C33^6)^8</f>
        <v>0.00527829693166082</v>
      </c>
    </row>
    <row r="34" customFormat="false" ht="15" hidden="false" customHeight="true" outlineLevel="0" collapsed="false">
      <c r="B34" s="22" t="n">
        <v>-0.52</v>
      </c>
      <c r="C34" s="19" t="n">
        <f aca="false">1-DEGREES(ACOS(MAX(-1,MIN(1,B34))))/180</f>
        <v>0.325931936124476</v>
      </c>
      <c r="D34" s="19" t="n">
        <f aca="false">1-(1-C34^6)^8</f>
        <v>0.00955058025417488</v>
      </c>
    </row>
    <row r="35" customFormat="false" ht="15" hidden="false" customHeight="true" outlineLevel="0" collapsed="false">
      <c r="B35" s="22" t="n">
        <v>-0.44</v>
      </c>
      <c r="C35" s="19" t="n">
        <f aca="false">1-DEGREES(ACOS(MAX(-1,MIN(1,B35))))/180</f>
        <v>0.35497843812589</v>
      </c>
      <c r="D35" s="19" t="n">
        <f aca="false">1-(1-C35^6)^8</f>
        <v>0.0158950546007164</v>
      </c>
    </row>
    <row r="36" customFormat="false" ht="15" hidden="false" customHeight="true" outlineLevel="0" collapsed="false">
      <c r="B36" s="22" t="n">
        <v>-0.36</v>
      </c>
      <c r="C36" s="19" t="n">
        <f aca="false">1-DEGREES(ACOS(MAX(-1,MIN(1,B36))))/180</f>
        <v>0.382776688755039</v>
      </c>
      <c r="D36" s="19" t="n">
        <f aca="false">1-(1-C36^6)^8</f>
        <v>0.0248877469289208</v>
      </c>
    </row>
    <row r="37" customFormat="false" ht="15" hidden="false" customHeight="true" outlineLevel="0" collapsed="false">
      <c r="B37" s="22" t="n">
        <v>-0.28</v>
      </c>
      <c r="C37" s="19" t="n">
        <f aca="false">1-DEGREES(ACOS(MAX(-1,MIN(1,B37))))/180</f>
        <v>0.409665529398267</v>
      </c>
      <c r="D37" s="19" t="n">
        <f aca="false">1-(1-C37^6)^8</f>
        <v>0.0371954694829925</v>
      </c>
    </row>
    <row r="38" customFormat="false" ht="15" hidden="false" customHeight="true" outlineLevel="0" collapsed="false">
      <c r="B38" s="22" t="n">
        <v>-0.2</v>
      </c>
      <c r="C38" s="19" t="n">
        <f aca="false">1-DEGREES(ACOS(MAX(-1,MIN(1,B38))))/180</f>
        <v>0.435905783151025</v>
      </c>
      <c r="D38" s="19" t="n">
        <f aca="false">1-(1-C38^6)^8</f>
        <v>0.0535840692268629</v>
      </c>
    </row>
    <row r="39" customFormat="false" ht="15" hidden="false" customHeight="true" outlineLevel="0" collapsed="false">
      <c r="B39" s="22" t="n">
        <v>-0.12</v>
      </c>
      <c r="C39" s="19" t="n">
        <f aca="false">1-DEGREES(ACOS(MAX(-1,MIN(1,B39))))/180</f>
        <v>0.461710541225853</v>
      </c>
      <c r="D39" s="19" t="n">
        <f aca="false">1-(1-C39^6)^8</f>
        <v>0.0749237371331724</v>
      </c>
    </row>
    <row r="40" customFormat="false" ht="15" hidden="false" customHeight="true" outlineLevel="0" collapsed="false">
      <c r="B40" s="22" t="n">
        <v>-0.04</v>
      </c>
      <c r="C40" s="19" t="n">
        <f aca="false">1-DEGREES(ACOS(MAX(-1,MIN(1,B40))))/180</f>
        <v>0.487264206800245</v>
      </c>
      <c r="D40" s="19" t="n">
        <f aca="false">1-(1-C40^6)^8</f>
        <v>0.102188611180998</v>
      </c>
    </row>
    <row r="41" customFormat="false" ht="15" hidden="false" customHeight="true" outlineLevel="0" collapsed="false">
      <c r="B41" s="22" t="n">
        <v>0.04</v>
      </c>
      <c r="C41" s="19" t="n">
        <f aca="false">1-DEGREES(ACOS(MAX(-1,MIN(1,B41))))/180</f>
        <v>0.512735793199755</v>
      </c>
      <c r="D41" s="19" t="n">
        <f aca="false">1-(1-C41^6)^8</f>
        <v>0.13644627159852</v>
      </c>
    </row>
    <row r="42" customFormat="false" ht="15" hidden="false" customHeight="true" outlineLevel="0" collapsed="false">
      <c r="B42" s="22" t="n">
        <v>0.12</v>
      </c>
      <c r="C42" s="19" t="n">
        <f aca="false">1-DEGREES(ACOS(MAX(-1,MIN(1,B42))))/180</f>
        <v>0.538289458774147</v>
      </c>
      <c r="D42" s="19" t="n">
        <f aca="false">1-(1-C42^6)^8</f>
        <v>0.178830218898286</v>
      </c>
    </row>
    <row r="43" customFormat="false" ht="15" hidden="false" customHeight="true" outlineLevel="0" collapsed="false">
      <c r="B43" s="22" t="n">
        <v>0.2</v>
      </c>
      <c r="C43" s="19" t="n">
        <f aca="false">1-DEGREES(ACOS(MAX(-1,MIN(1,B43))))/180</f>
        <v>0.564094216848975</v>
      </c>
      <c r="D43" s="19" t="n">
        <f aca="false">1-(1-C43^6)^8</f>
        <v>0.230484607926731</v>
      </c>
    </row>
    <row r="44" customFormat="false" ht="15" hidden="false" customHeight="true" outlineLevel="0" collapsed="false">
      <c r="B44" s="22" t="n">
        <v>0.28</v>
      </c>
      <c r="C44" s="19" t="n">
        <f aca="false">1-DEGREES(ACOS(MAX(-1,MIN(1,B44))))/180</f>
        <v>0.590334470601733</v>
      </c>
      <c r="D44" s="19" t="n">
        <f aca="false">1-(1-C44^6)^8</f>
        <v>0.29246476973138</v>
      </c>
    </row>
    <row r="45" customFormat="false" ht="15" hidden="false" customHeight="true" outlineLevel="0" collapsed="false">
      <c r="B45" s="22" t="n">
        <v>0.36</v>
      </c>
      <c r="C45" s="19" t="n">
        <f aca="false">1-DEGREES(ACOS(MAX(-1,MIN(1,B45))))/180</f>
        <v>0.617223311244961</v>
      </c>
      <c r="D45" s="19" t="n">
        <f aca="false">1-(1-C45^6)^8</f>
        <v>0.365568602548529</v>
      </c>
    </row>
    <row r="46" customFormat="false" ht="15" hidden="false" customHeight="true" outlineLevel="0" collapsed="false">
      <c r="B46" s="22" t="n">
        <v>0.44</v>
      </c>
      <c r="C46" s="19" t="n">
        <f aca="false">1-DEGREES(ACOS(MAX(-1,MIN(1,B46))))/180</f>
        <v>0.645021561874111</v>
      </c>
      <c r="D46" s="19" t="n">
        <f aca="false">1-(1-C46^6)^8</f>
        <v>0.450062006429722</v>
      </c>
    </row>
    <row r="47" customFormat="false" ht="15" hidden="false" customHeight="true" outlineLevel="0" collapsed="false">
      <c r="B47" s="22" t="n">
        <v>0.52</v>
      </c>
      <c r="C47" s="19" t="n">
        <f aca="false">1-DEGREES(ACOS(MAX(-1,MIN(1,B47))))/180</f>
        <v>0.674068063875524</v>
      </c>
      <c r="D47" s="19" t="n">
        <f aca="false">1-(1-C47^6)^8</f>
        <v>0.545246371060746</v>
      </c>
    </row>
    <row r="48" customFormat="false" ht="15" hidden="false" customHeight="true" outlineLevel="0" collapsed="false">
      <c r="B48" s="22" t="n">
        <v>0.6</v>
      </c>
      <c r="C48" s="19" t="n">
        <f aca="false">1-DEGREES(ACOS(MAX(-1,MIN(1,B48))))/180</f>
        <v>0.704832764699134</v>
      </c>
      <c r="D48" s="19" t="n">
        <f aca="false">1-(1-C48^6)^8</f>
        <v>0.64880208000746</v>
      </c>
    </row>
    <row r="49" customFormat="false" ht="15" hidden="false" customHeight="true" outlineLevel="0" collapsed="false">
      <c r="B49" s="22" t="n">
        <v>0.68</v>
      </c>
      <c r="C49" s="19" t="n">
        <f aca="false">1-DEGREES(ACOS(MAX(-1,MIN(1,B49))))/180</f>
        <v>0.738020239131091</v>
      </c>
      <c r="D49" s="19" t="n">
        <f aca="false">1-(1-C49^6)^8</f>
        <v>0.755848681091164</v>
      </c>
    </row>
    <row r="50" customFormat="false" ht="15" hidden="false" customHeight="true" outlineLevel="0" collapsed="false">
      <c r="B50" s="22" t="n">
        <v>0.76</v>
      </c>
      <c r="C50" s="19" t="n">
        <f aca="false">1-DEGREES(ACOS(MAX(-1,MIN(1,B50))))/180</f>
        <v>0.774801099381575</v>
      </c>
      <c r="D50" s="19" t="n">
        <f aca="false">1-(1-C50^6)^8</f>
        <v>0.857763386871004</v>
      </c>
    </row>
    <row r="51" customFormat="false" ht="15" hidden="false" customHeight="true" outlineLevel="0" collapsed="false">
      <c r="B51" s="22" t="n">
        <v>0.84</v>
      </c>
      <c r="C51" s="19" t="n">
        <f aca="false">1-DEGREES(ACOS(MAX(-1,MIN(1,B51))))/180</f>
        <v>0.817445109006172</v>
      </c>
      <c r="D51" s="19" t="n">
        <f aca="false">1-(1-C51^6)^8</f>
        <v>0.941267660648081</v>
      </c>
    </row>
    <row r="52" customFormat="false" ht="15" hidden="false" customHeight="true" outlineLevel="0" collapsed="false">
      <c r="B52" s="22" t="n">
        <v>0.92</v>
      </c>
      <c r="C52" s="19" t="n">
        <f aca="false">1-DEGREES(ACOS(MAX(-1,MIN(1,B52))))/180</f>
        <v>0.87181156630205</v>
      </c>
      <c r="D52" s="19" t="n">
        <f aca="false">1-(1-C52^6)^8</f>
        <v>0.990199305482612</v>
      </c>
    </row>
    <row r="53" customFormat="false" ht="15" hidden="false" customHeight="true" outlineLevel="0" collapsed="false">
      <c r="B53" s="22" t="n">
        <v>1</v>
      </c>
      <c r="C53" s="19" t="n">
        <f aca="false">1-DEGREES(ACOS(MAX(-1,MIN(1,B53))))/180</f>
        <v>1</v>
      </c>
      <c r="D53" s="19" t="n">
        <f aca="false">1-(1-C53^6)^8</f>
        <v>1</v>
      </c>
    </row>
  </sheetData>
  <mergeCells count="12">
    <mergeCell ref="B3:I6"/>
    <mergeCell ref="B18:J18"/>
    <mergeCell ref="D19:E19"/>
    <mergeCell ref="F19:J19"/>
    <mergeCell ref="D20:E20"/>
    <mergeCell ref="F20:J20"/>
    <mergeCell ref="D21:E21"/>
    <mergeCell ref="F21:J21"/>
    <mergeCell ref="D22:E22"/>
    <mergeCell ref="F22:J22"/>
    <mergeCell ref="B24:J24"/>
    <mergeCell ref="B25:J26"/>
  </mergeCells>
  <conditionalFormatting sqref="H9:J16">
    <cfRule type="expression" priority="2" aboveAverage="0" equalAverage="0" bottom="0" percent="0" rank="0" text="" dxfId="0">
      <formula>H9="SAME"</formula>
    </cfRule>
  </conditionalFormatting>
  <conditionalFormatting sqref="D20:E22">
    <cfRule type="expression" priority="3" aboveAverage="0" equalAverage="0" bottom="0" percent="0" rank="0" text="" dxfId="0">
      <formula>ISNUMBER(SEARCH("YES",D20))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2026-08-19T04:44:16Z</dcterms:created>
  <dc:creator>openpyxl</dc:creator>
  <dc:description/>
  <dc:language>en-US</dc:language>
  <cp:lastModifiedBy/>
  <dcterms:modified xsi:type="dcterms:W3CDTF">2026-08-19T04:44:33Z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