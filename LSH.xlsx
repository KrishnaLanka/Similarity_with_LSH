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klanka/Downloads/"/>
    </mc:Choice>
  </mc:AlternateContent>
  <xr:revisionPtr revIDLastSave="0" documentId="13_ncr:1_{A28B65FC-7875-564D-B48E-3FCDFAA5D95A}" xr6:coauthVersionLast="47" xr6:coauthVersionMax="47" xr10:uidLastSave="{00000000-0000-0000-0000-000000000000}"/>
  <bookViews>
    <workbookView xWindow="0" yWindow="660" windowWidth="30240" windowHeight="18980" tabRatio="500" activeTab="1" xr2:uid="{00000000-000D-0000-FFFF-FFFF00000000}"/>
  </bookViews>
  <sheets>
    <sheet name="READ ME" sheetId="1" r:id="rId1"/>
    <sheet name="1 Shingling" sheetId="2" r:id="rId2"/>
    <sheet name="2 True Similarity" sheetId="3" r:id="rId3"/>
    <sheet name="3a The Queue" sheetId="4" r:id="rId4"/>
    <sheet name="3 MinHash" sheetId="5" r:id="rId5"/>
    <sheet name="4 LSH Bucket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2" i="6" l="1"/>
  <c r="C42" i="6"/>
  <c r="D41" i="6"/>
  <c r="C41" i="6"/>
  <c r="D40" i="6"/>
  <c r="C40" i="6"/>
  <c r="D39" i="6"/>
  <c r="C39" i="6"/>
  <c r="D38" i="6"/>
  <c r="C38" i="6"/>
  <c r="D37" i="6"/>
  <c r="C37" i="6"/>
  <c r="D36" i="6"/>
  <c r="C36" i="6"/>
  <c r="D35" i="6"/>
  <c r="C35" i="6"/>
  <c r="D34" i="6"/>
  <c r="C34" i="6"/>
  <c r="D33" i="6"/>
  <c r="C33" i="6"/>
  <c r="D32" i="6"/>
  <c r="C32" i="6"/>
  <c r="D31" i="6"/>
  <c r="C31" i="6"/>
  <c r="D30" i="6"/>
  <c r="C30" i="6"/>
  <c r="D29" i="6"/>
  <c r="C29" i="6"/>
  <c r="D28" i="6"/>
  <c r="C28" i="6"/>
  <c r="D27" i="6"/>
  <c r="C27" i="6"/>
  <c r="D26" i="6"/>
  <c r="C26" i="6"/>
  <c r="D25" i="6"/>
  <c r="C25" i="6"/>
  <c r="D24" i="6"/>
  <c r="C24" i="6"/>
  <c r="D23" i="6"/>
  <c r="C23" i="6"/>
  <c r="D22" i="6"/>
  <c r="C22" i="6"/>
  <c r="I17" i="4"/>
  <c r="C17" i="4"/>
  <c r="I16" i="4"/>
  <c r="C16" i="4"/>
  <c r="I15" i="4"/>
  <c r="C15" i="4"/>
  <c r="I14" i="4"/>
  <c r="C14" i="4"/>
  <c r="I13" i="4"/>
  <c r="C13" i="4"/>
  <c r="I12" i="4"/>
  <c r="C12" i="4"/>
  <c r="I11" i="4"/>
  <c r="C11" i="4"/>
  <c r="I10" i="4"/>
  <c r="C10" i="4"/>
  <c r="I9" i="4"/>
  <c r="C9" i="4"/>
  <c r="I8" i="4"/>
  <c r="C8" i="4"/>
  <c r="E16" i="3"/>
  <c r="D16" i="3"/>
  <c r="C16" i="3"/>
  <c r="E15" i="3"/>
  <c r="D15" i="3"/>
  <c r="C15" i="3"/>
  <c r="E14" i="3"/>
  <c r="D14" i="3"/>
  <c r="C14" i="3"/>
  <c r="E13" i="3"/>
  <c r="D13" i="3"/>
  <c r="C13" i="3"/>
  <c r="E12" i="3"/>
  <c r="D12" i="3"/>
  <c r="C12" i="3"/>
  <c r="E11" i="3"/>
  <c r="D11" i="3"/>
  <c r="C11" i="3"/>
  <c r="E10" i="3"/>
  <c r="D10" i="3"/>
  <c r="C10" i="3"/>
  <c r="E9" i="3"/>
  <c r="D9" i="3"/>
  <c r="C9" i="3"/>
  <c r="E8" i="3"/>
  <c r="D8" i="3"/>
  <c r="C8" i="3"/>
  <c r="E7" i="3"/>
  <c r="D7" i="3"/>
  <c r="C7" i="3"/>
  <c r="L61" i="5" l="1"/>
  <c r="L59" i="5"/>
  <c r="F13" i="4"/>
  <c r="L16" i="4"/>
  <c r="L57" i="5"/>
  <c r="L63" i="5"/>
  <c r="L64" i="5"/>
  <c r="L60" i="5"/>
  <c r="E18" i="5"/>
  <c r="I18" i="5" s="1"/>
  <c r="L62" i="5"/>
  <c r="L58" i="5"/>
  <c r="K16" i="4"/>
  <c r="L54" i="5"/>
  <c r="E13" i="4"/>
  <c r="L53" i="5"/>
  <c r="L52" i="5"/>
  <c r="L51" i="5"/>
  <c r="L50" i="5"/>
  <c r="L49" i="5"/>
  <c r="L48" i="5"/>
  <c r="L47" i="5"/>
  <c r="D18" i="5"/>
  <c r="H18" i="5" s="1"/>
  <c r="C18" i="5"/>
  <c r="G18" i="5" s="1"/>
  <c r="L41" i="5"/>
  <c r="L39" i="5"/>
  <c r="L37" i="5"/>
  <c r="D13" i="4"/>
  <c r="J16" i="4"/>
  <c r="L38" i="5"/>
  <c r="L42" i="5"/>
  <c r="L40" i="5"/>
  <c r="L44" i="5"/>
  <c r="L43" i="5"/>
  <c r="K59" i="5"/>
  <c r="L11" i="4"/>
  <c r="K64" i="5"/>
  <c r="K58" i="5"/>
  <c r="E17" i="5"/>
  <c r="I17" i="5" s="1"/>
  <c r="F10" i="4"/>
  <c r="K61" i="5"/>
  <c r="K57" i="5"/>
  <c r="K60" i="5"/>
  <c r="K63" i="5"/>
  <c r="K62" i="5"/>
  <c r="D17" i="5"/>
  <c r="H17" i="5" s="1"/>
  <c r="K48" i="5"/>
  <c r="K49" i="5"/>
  <c r="K50" i="5"/>
  <c r="K47" i="5"/>
  <c r="K51" i="5"/>
  <c r="K52" i="5"/>
  <c r="K53" i="5"/>
  <c r="E10" i="4"/>
  <c r="K54" i="5"/>
  <c r="K11" i="4"/>
  <c r="C17" i="5"/>
  <c r="G17" i="5" s="1"/>
  <c r="K38" i="5"/>
  <c r="J11" i="4"/>
  <c r="D10" i="4"/>
  <c r="K40" i="5"/>
  <c r="K37" i="5"/>
  <c r="K42" i="5"/>
  <c r="K44" i="5"/>
  <c r="K43" i="5"/>
  <c r="K41" i="5"/>
  <c r="K39" i="5"/>
  <c r="J64" i="5"/>
  <c r="L8" i="4"/>
  <c r="L18" i="4" s="1"/>
  <c r="J63" i="5"/>
  <c r="J59" i="5"/>
  <c r="F14" i="4"/>
  <c r="J58" i="5"/>
  <c r="J60" i="5"/>
  <c r="J62" i="5"/>
  <c r="J61" i="5"/>
  <c r="E16" i="5"/>
  <c r="I16" i="5" s="1"/>
  <c r="J57" i="5"/>
  <c r="J51" i="5"/>
  <c r="J52" i="5"/>
  <c r="J48" i="5"/>
  <c r="J53" i="5"/>
  <c r="J49" i="5"/>
  <c r="K8" i="4"/>
  <c r="K18" i="4" s="1"/>
  <c r="D16" i="5"/>
  <c r="H16" i="5" s="1"/>
  <c r="J47" i="5"/>
  <c r="J50" i="5"/>
  <c r="E14" i="4"/>
  <c r="J54" i="5"/>
  <c r="J44" i="5"/>
  <c r="J40" i="5"/>
  <c r="D14" i="4"/>
  <c r="J41" i="5"/>
  <c r="J42" i="5"/>
  <c r="J37" i="5"/>
  <c r="J8" i="4"/>
  <c r="J18" i="4" s="1"/>
  <c r="C16" i="5"/>
  <c r="G16" i="5" s="1"/>
  <c r="J38" i="5"/>
  <c r="J43" i="5"/>
  <c r="J39" i="5"/>
  <c r="F17" i="4"/>
  <c r="I60" i="5"/>
  <c r="L15" i="4"/>
  <c r="I62" i="5"/>
  <c r="I61" i="5"/>
  <c r="I58" i="5"/>
  <c r="I64" i="5"/>
  <c r="E15" i="5"/>
  <c r="I15" i="5" s="1"/>
  <c r="I63" i="5"/>
  <c r="I57" i="5"/>
  <c r="I59" i="5"/>
  <c r="E17" i="4"/>
  <c r="I53" i="5"/>
  <c r="D15" i="5"/>
  <c r="H15" i="5" s="1"/>
  <c r="I49" i="5"/>
  <c r="I54" i="5"/>
  <c r="I50" i="5"/>
  <c r="I52" i="5"/>
  <c r="K15" i="4"/>
  <c r="I51" i="5"/>
  <c r="I48" i="5"/>
  <c r="I47" i="5"/>
  <c r="I43" i="5"/>
  <c r="I39" i="5"/>
  <c r="D17" i="4"/>
  <c r="C15" i="5"/>
  <c r="G15" i="5" s="1"/>
  <c r="I44" i="5"/>
  <c r="I38" i="5"/>
  <c r="I42" i="5"/>
  <c r="I41" i="5"/>
  <c r="I37" i="5"/>
  <c r="I40" i="5"/>
  <c r="J15" i="4"/>
  <c r="L17" i="4"/>
  <c r="H61" i="5"/>
  <c r="H60" i="5"/>
  <c r="H59" i="5"/>
  <c r="H57" i="5"/>
  <c r="H62" i="5"/>
  <c r="H63" i="5"/>
  <c r="H58" i="5"/>
  <c r="F8" i="4"/>
  <c r="F18" i="4" s="1"/>
  <c r="H64" i="5"/>
  <c r="E14" i="5"/>
  <c r="I14" i="5" s="1"/>
  <c r="H54" i="5"/>
  <c r="H50" i="5"/>
  <c r="H53" i="5"/>
  <c r="E8" i="4"/>
  <c r="E18" i="4" s="1"/>
  <c r="H47" i="5"/>
  <c r="H49" i="5"/>
  <c r="H52" i="5"/>
  <c r="H51" i="5"/>
  <c r="H48" i="5"/>
  <c r="K17" i="4"/>
  <c r="D14" i="5"/>
  <c r="H14" i="5" s="1"/>
  <c r="H41" i="5"/>
  <c r="H42" i="5"/>
  <c r="H39" i="5"/>
  <c r="H40" i="5"/>
  <c r="H43" i="5"/>
  <c r="H38" i="5"/>
  <c r="H44" i="5"/>
  <c r="H37" i="5"/>
  <c r="C14" i="5"/>
  <c r="G14" i="5" s="1"/>
  <c r="J17" i="4"/>
  <c r="D8" i="4"/>
  <c r="G57" i="5"/>
  <c r="L13" i="4"/>
  <c r="G59" i="5"/>
  <c r="G58" i="5"/>
  <c r="F15" i="4"/>
  <c r="G60" i="5"/>
  <c r="G63" i="5"/>
  <c r="G64" i="5"/>
  <c r="E13" i="5"/>
  <c r="I13" i="5" s="1"/>
  <c r="G62" i="5"/>
  <c r="G61" i="5"/>
  <c r="D13" i="5"/>
  <c r="H13" i="5" s="1"/>
  <c r="G50" i="5"/>
  <c r="K13" i="4"/>
  <c r="G51" i="5"/>
  <c r="G49" i="5"/>
  <c r="G54" i="5"/>
  <c r="E15" i="4"/>
  <c r="G52" i="5"/>
  <c r="G53" i="5"/>
  <c r="G47" i="5"/>
  <c r="G48" i="5"/>
  <c r="G43" i="5"/>
  <c r="C13" i="5"/>
  <c r="G13" i="5" s="1"/>
  <c r="G40" i="5"/>
  <c r="G41" i="5"/>
  <c r="G39" i="5"/>
  <c r="G44" i="5"/>
  <c r="G37" i="5"/>
  <c r="D15" i="4"/>
  <c r="G38" i="5"/>
  <c r="J13" i="4"/>
  <c r="G42" i="5"/>
  <c r="F64" i="5"/>
  <c r="F61" i="5"/>
  <c r="E12" i="5"/>
  <c r="I12" i="5" s="1"/>
  <c r="F12" i="4"/>
  <c r="F58" i="5"/>
  <c r="F60" i="5"/>
  <c r="F63" i="5"/>
  <c r="F59" i="5"/>
  <c r="L14" i="4"/>
  <c r="F57" i="5"/>
  <c r="F62" i="5"/>
  <c r="F49" i="5"/>
  <c r="F54" i="5"/>
  <c r="D12" i="5"/>
  <c r="H12" i="5" s="1"/>
  <c r="F53" i="5"/>
  <c r="F52" i="5"/>
  <c r="F51" i="5"/>
  <c r="F47" i="5"/>
  <c r="F50" i="5"/>
  <c r="E12" i="4"/>
  <c r="K14" i="4"/>
  <c r="F48" i="5"/>
  <c r="D12" i="4"/>
  <c r="J14" i="4"/>
  <c r="F39" i="5"/>
  <c r="F40" i="5"/>
  <c r="F43" i="5"/>
  <c r="F44" i="5"/>
  <c r="F38" i="5"/>
  <c r="F42" i="5"/>
  <c r="F41" i="5"/>
  <c r="F37" i="5"/>
  <c r="C12" i="5"/>
  <c r="G12" i="5" s="1"/>
  <c r="E62" i="5"/>
  <c r="E60" i="5"/>
  <c r="E59" i="5"/>
  <c r="L12" i="4"/>
  <c r="E58" i="5"/>
  <c r="E64" i="5"/>
  <c r="E61" i="5"/>
  <c r="E11" i="5"/>
  <c r="I11" i="5" s="1"/>
  <c r="E63" i="5"/>
  <c r="E57" i="5"/>
  <c r="F9" i="4"/>
  <c r="E50" i="5"/>
  <c r="E54" i="5"/>
  <c r="K12" i="4"/>
  <c r="E49" i="5"/>
  <c r="E47" i="5"/>
  <c r="D11" i="5"/>
  <c r="H11" i="5" s="1"/>
  <c r="E48" i="5"/>
  <c r="E51" i="5"/>
  <c r="E9" i="4"/>
  <c r="E53" i="5"/>
  <c r="E52" i="5"/>
  <c r="E38" i="5"/>
  <c r="E42" i="5"/>
  <c r="D9" i="4"/>
  <c r="E40" i="5"/>
  <c r="E41" i="5"/>
  <c r="J12" i="4"/>
  <c r="E37" i="5"/>
  <c r="C11" i="5"/>
  <c r="G11" i="5" s="1"/>
  <c r="E39" i="5"/>
  <c r="E43" i="5"/>
  <c r="E44" i="5"/>
  <c r="D59" i="5"/>
  <c r="D60" i="5"/>
  <c r="D61" i="5"/>
  <c r="L10" i="4"/>
  <c r="D58" i="5"/>
  <c r="D62" i="5"/>
  <c r="E10" i="5"/>
  <c r="I10" i="5" s="1"/>
  <c r="D64" i="5"/>
  <c r="F11" i="4"/>
  <c r="D57" i="5"/>
  <c r="D63" i="5"/>
  <c r="D52" i="5"/>
  <c r="D54" i="5"/>
  <c r="D47" i="5"/>
  <c r="D51" i="5"/>
  <c r="D48" i="5"/>
  <c r="E11" i="4"/>
  <c r="D49" i="5"/>
  <c r="K10" i="4"/>
  <c r="D50" i="5"/>
  <c r="D10" i="5"/>
  <c r="H10" i="5" s="1"/>
  <c r="D53" i="5"/>
  <c r="J10" i="4"/>
  <c r="D38" i="5"/>
  <c r="D42" i="5"/>
  <c r="D41" i="5"/>
  <c r="D43" i="5"/>
  <c r="D40" i="5"/>
  <c r="C10" i="5"/>
  <c r="G10" i="5" s="1"/>
  <c r="D37" i="5"/>
  <c r="D11" i="4"/>
  <c r="D39" i="5"/>
  <c r="D44" i="5"/>
  <c r="L9" i="4"/>
  <c r="C62" i="5"/>
  <c r="C63" i="5"/>
  <c r="C59" i="5"/>
  <c r="C64" i="5"/>
  <c r="C60" i="5"/>
  <c r="C61" i="5"/>
  <c r="C58" i="5"/>
  <c r="C57" i="5"/>
  <c r="F16" i="4"/>
  <c r="E9" i="5"/>
  <c r="I9" i="5" s="1"/>
  <c r="C47" i="5"/>
  <c r="C53" i="5"/>
  <c r="C52" i="5"/>
  <c r="C49" i="5"/>
  <c r="E16" i="4"/>
  <c r="C51" i="5"/>
  <c r="K9" i="4"/>
  <c r="D9" i="5"/>
  <c r="H9" i="5" s="1"/>
  <c r="C50" i="5"/>
  <c r="C54" i="5"/>
  <c r="D22" i="3"/>
  <c r="C48" i="5"/>
  <c r="C22" i="3"/>
  <c r="D20" i="3"/>
  <c r="J9" i="4"/>
  <c r="C43" i="5"/>
  <c r="C20" i="3"/>
  <c r="C41" i="5"/>
  <c r="C73" i="5" s="1"/>
  <c r="C37" i="5"/>
  <c r="C69" i="5" s="1"/>
  <c r="C9" i="5"/>
  <c r="G9" i="5" s="1"/>
  <c r="G19" i="5" s="1"/>
  <c r="G20" i="5" s="1"/>
  <c r="C44" i="5"/>
  <c r="C76" i="5" s="1"/>
  <c r="D21" i="3"/>
  <c r="C38" i="5"/>
  <c r="C70" i="5" s="1"/>
  <c r="C42" i="5"/>
  <c r="C74" i="5" s="1"/>
  <c r="D16" i="4"/>
  <c r="C40" i="5"/>
  <c r="C72" i="5" s="1"/>
  <c r="C39" i="5"/>
  <c r="C71" i="5" s="1"/>
  <c r="C21" i="3"/>
  <c r="E10" i="6" l="1"/>
  <c r="E8" i="6"/>
  <c r="F76" i="5"/>
  <c r="G70" i="5"/>
  <c r="F74" i="5"/>
  <c r="F71" i="5"/>
  <c r="E9" i="6"/>
  <c r="E21" i="3"/>
  <c r="E80" i="5" s="1"/>
  <c r="D18" i="4"/>
  <c r="H19" i="5"/>
  <c r="H20" i="5" s="1"/>
  <c r="E22" i="3"/>
  <c r="E81" i="5" s="1"/>
  <c r="D73" i="5"/>
  <c r="F73" i="5" s="1"/>
  <c r="D70" i="5"/>
  <c r="D72" i="5"/>
  <c r="F72" i="5" s="1"/>
  <c r="C75" i="5"/>
  <c r="E20" i="3"/>
  <c r="E79" i="5" s="1"/>
  <c r="E74" i="5"/>
  <c r="G74" i="5" s="1"/>
  <c r="E75" i="5"/>
  <c r="E71" i="5"/>
  <c r="E76" i="5"/>
  <c r="G76" i="5" s="1"/>
  <c r="E72" i="5"/>
  <c r="G72" i="5" s="1"/>
  <c r="E73" i="5"/>
  <c r="E70" i="5"/>
  <c r="E69" i="5"/>
  <c r="I19" i="5"/>
  <c r="I20" i="5" s="1"/>
  <c r="D69" i="5"/>
  <c r="D75" i="5"/>
  <c r="D74" i="5"/>
  <c r="D71" i="5"/>
  <c r="D76" i="5"/>
  <c r="F10" i="6" l="1"/>
  <c r="H73" i="5"/>
  <c r="E11" i="6"/>
  <c r="G75" i="5"/>
  <c r="F75" i="5"/>
  <c r="F8" i="6"/>
  <c r="C81" i="5"/>
  <c r="D81" i="5" s="1"/>
  <c r="H69" i="5"/>
  <c r="F11" i="6"/>
  <c r="H75" i="5"/>
  <c r="F9" i="6"/>
  <c r="H71" i="5"/>
  <c r="H72" i="5"/>
  <c r="H74" i="5"/>
  <c r="H76" i="5"/>
  <c r="G11" i="6"/>
  <c r="H70" i="5"/>
  <c r="F70" i="5"/>
  <c r="G9" i="6"/>
  <c r="C80" i="5"/>
  <c r="D80" i="5" s="1"/>
  <c r="G71" i="5"/>
  <c r="G10" i="6"/>
  <c r="G73" i="5"/>
  <c r="G8" i="6"/>
  <c r="G69" i="5"/>
  <c r="F69" i="5"/>
  <c r="C79" i="5"/>
  <c r="D79" i="5" s="1"/>
  <c r="H11" i="6" l="1"/>
  <c r="I11" i="6"/>
  <c r="H10" i="6"/>
  <c r="I10" i="6"/>
  <c r="H8" i="6"/>
  <c r="C15" i="6" s="1"/>
  <c r="I8" i="6"/>
  <c r="C16" i="6" s="1"/>
  <c r="H9" i="6"/>
  <c r="I9" i="6"/>
</calcChain>
</file>

<file path=xl/sharedStrings.xml><?xml version="1.0" encoding="utf-8"?>
<sst xmlns="http://schemas.openxmlformats.org/spreadsheetml/2006/main" count="307" uniqueCount="155">
  <si>
    <t>How Computers Spot Similar Sentences</t>
  </si>
  <si>
    <t>MinHash + Locality Sensitive Hashing (LSH), fully worked on 3 tiny sentences</t>
  </si>
  <si>
    <t>The problem, in plain words</t>
  </si>
  <si>
    <t>Imagine you have millions of sentences and you want to find near-duplicates. Comparing every pair is far too slow. The trick in this workbook: turn each sentence into a tiny 'fingerprint', then sort fingerprints into buckets so lookalikes land in the SAME bucket - and you only ever compare things that share a bucket.</t>
  </si>
  <si>
    <t>Our three example sentences</t>
  </si>
  <si>
    <t>Sentence 1</t>
  </si>
  <si>
    <t>"the cat sat on the mat"</t>
  </si>
  <si>
    <t>the original</t>
  </si>
  <si>
    <t>Sentence 2</t>
  </si>
  <si>
    <t>"the cat sat on a mat"</t>
  </si>
  <si>
    <t>near-duplicate: one word changed</t>
  </si>
  <si>
    <t>Sentence 3</t>
  </si>
  <si>
    <t>"dogs love long walks"</t>
  </si>
  <si>
    <t>completely unrelated</t>
  </si>
  <si>
    <t>The 4-step pipeline (one sheet per step)</t>
  </si>
  <si>
    <t>1 Shingling</t>
  </si>
  <si>
    <t>Chop each sentence into overlapping 2-word pieces ('shingles').</t>
  </si>
  <si>
    <t>2 True Similarity</t>
  </si>
  <si>
    <t>Score overlap with the Jaccard formula: shared / total. This is our ground truth.</t>
  </si>
  <si>
    <t>3 MinHash</t>
  </si>
  <si>
    <t>Shrink each sentence to an 8-number fingerprint using random shuffles.</t>
  </si>
  <si>
    <t>4 LSH Buckets</t>
  </si>
  <si>
    <t>Cut fingerprints into bands; matching bands = same bucket = worth comparing.</t>
  </si>
  <si>
    <t>How to read the cells</t>
  </si>
  <si>
    <t>Blue text</t>
  </si>
  <si>
    <t>means raw data you may edit (sentences, shingles, shuffle numbers)</t>
  </si>
  <si>
    <t>Black text</t>
  </si>
  <si>
    <t>means a LIVE formula. Click any black number to see the actual math in the formula bar.</t>
  </si>
  <si>
    <t>Green cells</t>
  </si>
  <si>
    <t>means a match / same-bucket moment. This is where the magic is visible.</t>
  </si>
  <si>
    <t>Everything downstream recalculates if you change the data - the whole point is that the math is real.</t>
  </si>
  <si>
    <t>Step 1 - Shingling: chop sentences into overlapping pieces</t>
  </si>
  <si>
    <t>Slide a 2-word window along each sentence, one word at a time. Each stop produces one 'shingle'. Similar sentences end up sharing many shingles; unrelated ones share none.</t>
  </si>
  <si>
    <t>Window stop</t>
  </si>
  <si>
    <t>Words taken</t>
  </si>
  <si>
    <t>Shingle produced</t>
  </si>
  <si>
    <t>stop 1</t>
  </si>
  <si>
    <t>words 1-2</t>
  </si>
  <si>
    <t>the cat</t>
  </si>
  <si>
    <t>stop 2</t>
  </si>
  <si>
    <t>words 2-3</t>
  </si>
  <si>
    <t>cat sat</t>
  </si>
  <si>
    <t>stop 3</t>
  </si>
  <si>
    <t>words 3-4</t>
  </si>
  <si>
    <t>sat on</t>
  </si>
  <si>
    <t>stop 4</t>
  </si>
  <si>
    <t>words 4-5</t>
  </si>
  <si>
    <t>on the</t>
  </si>
  <si>
    <t>stop 5</t>
  </si>
  <si>
    <t>words 5-6</t>
  </si>
  <si>
    <t>the mat</t>
  </si>
  <si>
    <t>on a</t>
  </si>
  <si>
    <t>a mat</t>
  </si>
  <si>
    <t>dogs love</t>
  </si>
  <si>
    <t>love long</t>
  </si>
  <si>
    <t>long walks</t>
  </si>
  <si>
    <t>Notice: sentences 1 and 2 share their first three shingles - shingling has turned 'these sentences look alike' into a countable fact.</t>
  </si>
  <si>
    <t>Step 2 - The 1/0 table and the true Jaccard similarity</t>
  </si>
  <si>
    <t>List every distinct shingle from Step 1 (the 'vocabulary'). For each sentence, mark 1 if it contains that shingle, else 0. Every 1/0 below is a live COUNTIF formula reading Step 1.</t>
  </si>
  <si>
    <t>Shingle (vocabulary)</t>
  </si>
  <si>
    <t>In S1?</t>
  </si>
  <si>
    <t>In S2?</t>
  </si>
  <si>
    <t>In S3?</t>
  </si>
  <si>
    <t>Now the actual similarity math, straight from the 1/0 columns:</t>
  </si>
  <si>
    <t>Pair</t>
  </si>
  <si>
    <t>Shared shingles</t>
  </si>
  <si>
    <t>Total distinct</t>
  </si>
  <si>
    <t>Jaccard = shared/total</t>
  </si>
  <si>
    <t>S1 vs S2</t>
  </si>
  <si>
    <t>S1 vs S3</t>
  </si>
  <si>
    <t>S2 vs S3</t>
  </si>
  <si>
    <t>Read S1 vs S2 as: 3 shared shingles out of 7 distinct ones = 43%. That 43% is the ground truth the fingerprints in Step 3 will try to guess without ever seeing this table.</t>
  </si>
  <si>
    <t>Step 3a - The shuffle, seen as a QUEUE (read this before the rank tables)</t>
  </si>
  <si>
    <t>A 'shuffle' just means: make all 10 shingles stand in one line, in random order. Then each sentence walks down the line from the front and stops at the FIRST shingle it owns. That stopping position IS the sentence's MinHash number. Nothing else is happening.</t>
  </si>
  <si>
    <t>Queue for Shuffle #1</t>
  </si>
  <si>
    <t>Queue for Shuffle #2</t>
  </si>
  <si>
    <t>Position in line</t>
  </si>
  <si>
    <t>Who is standing here?</t>
  </si>
  <si>
    <t>S1 owns it?</t>
  </si>
  <si>
    <t>S2 owns it?</t>
  </si>
  <si>
    <t>S3 owns it?</t>
  </si>
  <si>
    <t>1</t>
  </si>
  <si>
    <t>2</t>
  </si>
  <si>
    <t>3</t>
  </si>
  <si>
    <t>4</t>
  </si>
  <si>
    <t>5</t>
  </si>
  <si>
    <t>6</t>
  </si>
  <si>
    <t>7</t>
  </si>
  <si>
    <t>8</t>
  </si>
  <si>
    <t>9</t>
  </si>
  <si>
    <t>10</t>
  </si>
  <si>
    <t>MinHash = position of the first YES:</t>
  </si>
  <si>
    <t>Walk Shuffle #1 with your finger: position 1 is 'on a' - only Sentence 2 owns it, so S2 stops immediately: MinHash 1. S1 keeps walking and stops at position 2 ('sat on'): MinHash 2. Different stops = no match. Now walk Shuffle #2: position 1 is 'dogs love' (S3 stops), position 2 is 'the cat' - owned by BOTH cat sentences, so S1 and S2 stop together: both get MinHash 2. A match happens exactly when the first-reachable shingle is SHARED.</t>
  </si>
  <si>
    <t>That is all a 'rank' ever was: the rank tables on the next sheet are these same queues written sideways (rank 4 = 'stands 4th in line'), and 'MIN of ranks' = 'first of your shingles to appear'. Same walk, written as arithmetic so Excel can do 8 of them at once.</t>
  </si>
  <si>
    <t>Step 3 - MinHash: shrink each sentence to an 8-number fingerprint</t>
  </si>
  <si>
    <t>Game: shuffle the 10 vocabulary shingles into a random order (each shingle gets a rank 1-10). A sentence's MinHash = the SMALLEST rank among the shingles it contains - i.e. whichever of its shingles comes first in the shuffle. Two sentences get the SAME MinHash exactly when the shuffle's overall front-runner is a shingle they share.</t>
  </si>
  <si>
    <t>One shuffle in slow motion (Shuffle #1)</t>
  </si>
  <si>
    <t>Shingle</t>
  </si>
  <si>
    <t>Shuffle rank</t>
  </si>
  <si>
    <t>Rank if in S1</t>
  </si>
  <si>
    <t>Rank if in S2</t>
  </si>
  <si>
    <t>Rank if in S3</t>
  </si>
  <si>
    <t>MinHash (smallest rank present)</t>
  </si>
  <si>
    <t>Winning shingle</t>
  </si>
  <si>
    <t>Here rank 1 belongs to 'on a' - only S2 has it, so S2's MinHash is 1 while S1 must wait for rank 2 ('sat on'). The front-runner was NOT shared, so no match this shuffle. One shuffle = one noisy yes/no vote; now we repeat with 8 different shuffles.</t>
  </si>
  <si>
    <t>All 8 shuffles - every shingle's rank in each (blue = the random shuffles themselves)</t>
  </si>
  <si>
    <t>Shuffle</t>
  </si>
  <si>
    <t>Shuffle 1</t>
  </si>
  <si>
    <t>Shuffle 2</t>
  </si>
  <si>
    <t>Shuffle 3</t>
  </si>
  <si>
    <t>Shuffle 4</t>
  </si>
  <si>
    <t>Shuffle 5</t>
  </si>
  <si>
    <t>Shuffle 6</t>
  </si>
  <si>
    <t>Shuffle 7</t>
  </si>
  <si>
    <t>Shuffle 8</t>
  </si>
  <si>
    <t>Engine room - 'rank if the sentence contains that shingle' (same IF trick as slow motion)</t>
  </si>
  <si>
    <t>The fingerprints (signatures): MIN of each engine-room row</t>
  </si>
  <si>
    <t>S1 fingerprint</t>
  </si>
  <si>
    <t>S2 fingerprint</t>
  </si>
  <si>
    <t>S3 fingerprint</t>
  </si>
  <si>
    <t>S1=S2?</t>
  </si>
  <si>
    <t>S1=S3?</t>
  </si>
  <si>
    <t>S2=S3?</t>
  </si>
  <si>
    <t>Matches / 8</t>
  </si>
  <si>
    <t>Estimated similarity</t>
  </si>
  <si>
    <t>TRUE Jaccard (Step 2)</t>
  </si>
  <si>
    <t>The 8-number fingerprint guessed 50% vs the true 43% - close, from just 8 shuffles, and it never looked at the sentences again. More shuffles = closer guess (error shrinks like 1/sqrt(k)). The unrelated pair scores 0%: disjoint sentences can never share a front-runner.</t>
  </si>
  <si>
    <t>Step 4 - LSH: cut fingerprints into bands, and bands become buckets</t>
  </si>
  <si>
    <t>We never want to compare all pairs. So: chop each 8-number fingerprint into 4 bands of 2 numbers. Each band's pair of numbers is glued into a bucket label. If two sentences produce the SAME label in ANY band, they land in the same bucket and become a 'candidate pair' - only candidates get the full similarity check from Step 2. Everyone else is never compared at all.</t>
  </si>
  <si>
    <t>Band</t>
  </si>
  <si>
    <t>Shuffles</t>
  </si>
  <si>
    <t>S1 bucket label</t>
  </si>
  <si>
    <t>S2 bucket label</t>
  </si>
  <si>
    <t>S3 bucket label</t>
  </si>
  <si>
    <t>S1 &amp; S2 same bucket?</t>
  </si>
  <si>
    <t>any with S3?</t>
  </si>
  <si>
    <t>Band 1</t>
  </si>
  <si>
    <t>1 &amp; 2</t>
  </si>
  <si>
    <t>Band 2</t>
  </si>
  <si>
    <t>3 &amp; 4</t>
  </si>
  <si>
    <t>Band 3</t>
  </si>
  <si>
    <t>5 &amp; 6</t>
  </si>
  <si>
    <t>Band 4</t>
  </si>
  <si>
    <t>7 &amp; 8</t>
  </si>
  <si>
    <t>Verdict</t>
  </si>
  <si>
    <t>Candidate?</t>
  </si>
  <si>
    <t>Meaning</t>
  </si>
  <si>
    <t>Band 4 caught the near-duplicates. One shared band is enough.</t>
  </si>
  <si>
    <t>anything vs S3</t>
  </si>
  <si>
    <t>The dog sentence is skipped entirely - that skipped work is the whole speed-up.</t>
  </si>
  <si>
    <t>Why bands? The S-curve (live formulas: chance of becoming candidates vs true similarity)</t>
  </si>
  <si>
    <t>With 4 bands of 2, P(candidate) = 1-(1-s^2)^4. Dissimilar pairs almost never collide; similar pairs almost always do. The curve's steep step sits near 50% similarity - a tunable dial.</t>
  </si>
  <si>
    <t>True similarity s</t>
  </si>
  <si>
    <t>1 shuffle alone: P=s</t>
  </si>
  <si>
    <t>4 bands of 2: P=1-(1-s^2)^4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</si>
</sst>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charset val="1"/>
    </font>
    <font>
      <b/>
      <sz val="16"/>
      <color rgb="FF1F3864"/>
      <name val="Arial"/>
      <charset val="1"/>
    </font>
    <font>
      <sz val="11"/>
      <color rgb="FF595959"/>
      <name val="Arial"/>
      <charset val="1"/>
    </font>
    <font>
      <b/>
      <sz val="12"/>
      <color rgb="FF1F3864"/>
      <name val="Arial"/>
      <charset val="1"/>
    </font>
    <font>
      <sz val="10"/>
      <name val="Arial"/>
      <charset val="1"/>
    </font>
    <font>
      <b/>
      <sz val="11"/>
      <name val="Arial"/>
      <charset val="1"/>
    </font>
    <font>
      <sz val="10"/>
      <color rgb="FF0000FF"/>
      <name val="Arial"/>
      <charset val="1"/>
    </font>
    <font>
      <i/>
      <sz val="9"/>
      <color rgb="FF595959"/>
      <name val="Arial"/>
      <charset val="1"/>
    </font>
    <font>
      <b/>
      <sz val="10"/>
      <color rgb="FFFFFFFF"/>
      <name val="Arial"/>
      <charset val="1"/>
    </font>
    <font>
      <b/>
      <sz val="11"/>
      <color rgb="FF1F3864"/>
      <name val="Arial"/>
      <family val="2"/>
    </font>
    <font>
      <sz val="11"/>
      <name val="Arial"/>
      <family val="2"/>
    </font>
    <font>
      <sz val="11"/>
      <color rgb="FF0000FF"/>
      <name val="Arial"/>
      <family val="2"/>
    </font>
    <font>
      <b/>
      <sz val="11"/>
      <color rgb="FFFFFFFF"/>
      <name val="Arial"/>
      <family val="2"/>
    </font>
    <font>
      <i/>
      <sz val="11"/>
      <color rgb="FF595959"/>
      <name val="Arial"/>
      <family val="2"/>
    </font>
  </fonts>
  <fills count="6">
    <fill>
      <patternFill patternType="none"/>
    </fill>
    <fill>
      <patternFill patternType="gray125"/>
    </fill>
    <fill>
      <patternFill patternType="solid">
        <fgColor rgb="FFD9E2F3"/>
        <bgColor rgb="FFD9D9D9"/>
      </patternFill>
    </fill>
    <fill>
      <patternFill patternType="solid">
        <fgColor rgb="FFFFF2CC"/>
        <bgColor rgb="FFFFFFFF"/>
      </patternFill>
    </fill>
    <fill>
      <patternFill patternType="solid">
        <fgColor rgb="FFC6EFCE"/>
        <bgColor rgb="FFD9E2F3"/>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9">
    <xf numFmtId="0" fontId="0" fillId="0" borderId="0" xfId="0"/>
    <xf numFmtId="0" fontId="8" fillId="5" borderId="1" xfId="0" applyFont="1" applyFill="1" applyBorder="1" applyAlignment="1">
      <alignment horizontal="center" vertical="center" wrapText="1"/>
    </xf>
    <xf numFmtId="0" fontId="4" fillId="0" borderId="1" xfId="0" applyFont="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xf numFmtId="0" fontId="3" fillId="0" borderId="0" xfId="0" applyFont="1"/>
    <xf numFmtId="0" fontId="7" fillId="0" borderId="0" xfId="0" applyFont="1" applyAlignment="1">
      <alignment vertical="top" wrapText="1"/>
    </xf>
    <xf numFmtId="0" fontId="7" fillId="0" borderId="0" xfId="0" applyFont="1"/>
    <xf numFmtId="0" fontId="4" fillId="0" borderId="0" xfId="0" applyFont="1"/>
    <xf numFmtId="0" fontId="4" fillId="0" borderId="0" xfId="0" applyFont="1" applyAlignment="1">
      <alignment vertical="top" wrapText="1"/>
    </xf>
    <xf numFmtId="0" fontId="1" fillId="0" borderId="0" xfId="0" applyFont="1"/>
    <xf numFmtId="0" fontId="2" fillId="0" borderId="0" xfId="0" applyFont="1"/>
    <xf numFmtId="0" fontId="3" fillId="0" borderId="0" xfId="0" applyFont="1"/>
    <xf numFmtId="0" fontId="5" fillId="0" borderId="0" xfId="0" applyFont="1"/>
    <xf numFmtId="0" fontId="6" fillId="0" borderId="0" xfId="0" applyFont="1"/>
    <xf numFmtId="0" fontId="7" fillId="0" borderId="0" xfId="0" applyFont="1"/>
    <xf numFmtId="0" fontId="5" fillId="2" borderId="1" xfId="0" applyFont="1" applyFill="1" applyBorder="1"/>
    <xf numFmtId="0" fontId="4" fillId="0" borderId="0" xfId="0" applyFont="1"/>
    <xf numFmtId="0" fontId="6" fillId="3" borderId="1" xfId="0" applyFont="1" applyFill="1" applyBorder="1"/>
    <xf numFmtId="0" fontId="4" fillId="3" borderId="1" xfId="0" applyFont="1" applyFill="1" applyBorder="1"/>
    <xf numFmtId="0" fontId="4" fillId="4" borderId="1" xfId="0" applyFont="1" applyFill="1" applyBorder="1"/>
    <xf numFmtId="0" fontId="8" fillId="5" borderId="1" xfId="0" applyFont="1" applyFill="1" applyBorder="1" applyAlignment="1">
      <alignment horizontal="center" vertical="center" wrapText="1"/>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5"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5" fillId="2" borderId="1" xfId="0" applyFont="1" applyFill="1" applyBorder="1" applyAlignment="1">
      <alignment horizontal="center" vertical="center"/>
    </xf>
    <xf numFmtId="0" fontId="7" fillId="0" borderId="1" xfId="0" applyFont="1" applyBorder="1" applyAlignment="1">
      <alignment horizontal="center" vertical="center"/>
    </xf>
    <xf numFmtId="0" fontId="4" fillId="0" borderId="1" xfId="0" applyFont="1" applyBorder="1"/>
    <xf numFmtId="9" fontId="6" fillId="0" borderId="1" xfId="0" applyNumberFormat="1" applyFont="1" applyBorder="1" applyAlignment="1">
      <alignment horizontal="center" vertical="center"/>
    </xf>
    <xf numFmtId="9" fontId="4" fillId="0" borderId="1" xfId="0" applyNumberFormat="1" applyFont="1" applyBorder="1" applyAlignment="1">
      <alignment horizontal="center" vertical="center"/>
    </xf>
    <xf numFmtId="0" fontId="9" fillId="0" borderId="0" xfId="0" applyFont="1"/>
    <xf numFmtId="0" fontId="0" fillId="0" borderId="0" xfId="0" applyFont="1"/>
    <xf numFmtId="0" fontId="10" fillId="0" borderId="0" xfId="0" applyFont="1" applyAlignment="1">
      <alignment vertical="top" wrapText="1"/>
    </xf>
    <xf numFmtId="0" fontId="11" fillId="0" borderId="0" xfId="0" applyFont="1"/>
    <xf numFmtId="0" fontId="12" fillId="5" borderId="1" xfId="0" applyFont="1" applyFill="1" applyBorder="1" applyAlignment="1">
      <alignment horizontal="center" vertical="center" wrapText="1"/>
    </xf>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13" fillId="0" borderId="0" xfId="0" applyFont="1"/>
  </cellXfs>
  <cellStyles count="1">
    <cellStyle name="Normal" xfId="0" builtinId="0"/>
  </cellStyles>
  <dxfs count="5">
    <dxf>
      <fill>
        <patternFill>
          <bgColor rgb="FFC6EFCE"/>
        </patternFill>
      </fill>
    </dxf>
    <dxf>
      <fill>
        <patternFill>
          <bgColor rgb="FFC6EFCE"/>
        </patternFill>
      </fill>
    </dxf>
    <dxf>
      <fill>
        <patternFill>
          <bgColor rgb="FFC6EFCE"/>
        </patternFill>
      </fill>
    </dxf>
    <dxf>
      <fill>
        <patternFill>
          <bgColor rgb="FFC6EF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4A7EBB"/>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The S-curve: bands turn a fuzzy signal into a sharp yes/no</a:t>
            </a:r>
          </a:p>
        </c:rich>
      </c:tx>
      <c:overlay val="0"/>
      <c:spPr>
        <a:noFill/>
        <a:ln w="0">
          <a:noFill/>
        </a:ln>
      </c:spPr>
    </c:title>
    <c:autoTitleDeleted val="0"/>
    <c:plotArea>
      <c:layout/>
      <c:lineChart>
        <c:grouping val="standard"/>
        <c:varyColors val="0"/>
        <c:ser>
          <c:idx val="0"/>
          <c:order val="0"/>
          <c:tx>
            <c:strRef>
              <c:f>'4 LSH Buckets'!$C$21</c:f>
              <c:strCache>
                <c:ptCount val="1"/>
                <c:pt idx="0">
                  <c:v>1 shuffle alone: P=s</c:v>
                </c:pt>
              </c:strCache>
            </c:strRef>
          </c:tx>
          <c:spPr>
            <a:ln w="28440">
              <a:solidFill>
                <a:srgbClr val="4A7EBB"/>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'4 LSH Buckets'!$B$22:$B$42</c:f>
              <c:numCache>
                <c:formatCode>0%</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cat>
          <c:val>
            <c:numRef>
              <c:f>'4 LSH Buckets'!$C$22:$C$42</c:f>
              <c:numCache>
                <c:formatCode>0%</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val>
          <c:smooth val="1"/>
          <c:extLst>
            <c:ext xmlns:c16="http://schemas.microsoft.com/office/drawing/2014/chart" uri="{C3380CC4-5D6E-409C-BE32-E72D297353CC}">
              <c16:uniqueId val="{00000000-69B3-694B-A684-F4367F901D19}"/>
            </c:ext>
          </c:extLst>
        </c:ser>
        <c:ser>
          <c:idx val="1"/>
          <c:order val="1"/>
          <c:tx>
            <c:strRef>
              <c:f>'4 LSH Buckets'!$D$21</c:f>
              <c:strCache>
                <c:ptCount val="1"/>
                <c:pt idx="0">
                  <c:v>4 bands of 2: P=1-(1-s^2)^4</c:v>
                </c:pt>
              </c:strCache>
            </c:strRef>
          </c:tx>
          <c:spPr>
            <a:ln w="28440">
              <a:solidFill>
                <a:srgbClr val="BE4B48"/>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'4 LSH Buckets'!$B$22:$B$42</c:f>
              <c:numCache>
                <c:formatCode>0%</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cat>
          <c:val>
            <c:numRef>
              <c:f>'4 LSH Buckets'!$D$22:$D$42</c:f>
              <c:numCache>
                <c:formatCode>0%</c:formatCode>
                <c:ptCount val="21"/>
                <c:pt idx="0">
                  <c:v>0</c:v>
                </c:pt>
                <c:pt idx="1">
                  <c:v>9.9625624609372965E-3</c:v>
                </c:pt>
                <c:pt idx="2">
                  <c:v>3.9403990000000055E-2</c:v>
                </c:pt>
                <c:pt idx="3">
                  <c:v>8.7007806210937289E-2</c:v>
                </c:pt>
                <c:pt idx="4">
                  <c:v>0.15065344000000003</c:v>
                </c:pt>
                <c:pt idx="5">
                  <c:v>0.2275238037109375</c:v>
                </c:pt>
                <c:pt idx="6">
                  <c:v>0.31425038999999988</c:v>
                </c:pt>
                <c:pt idx="7">
                  <c:v>0.40709037496093736</c:v>
                </c:pt>
                <c:pt idx="8">
                  <c:v>0.50212864000000013</c:v>
                </c:pt>
                <c:pt idx="9">
                  <c:v>0.59549604996093752</c:v>
                </c:pt>
                <c:pt idx="10">
                  <c:v>0.68359375</c:v>
                </c:pt>
                <c:pt idx="11">
                  <c:v>0.76331166871093747</c:v>
                </c:pt>
                <c:pt idx="12">
                  <c:v>0.83222784000000005</c:v>
                </c:pt>
                <c:pt idx="13">
                  <c:v>0.88877358121093752</c:v>
                </c:pt>
                <c:pt idx="14">
                  <c:v>0.93234799000000002</c:v>
                </c:pt>
                <c:pt idx="15">
                  <c:v>0.9633636474609375</c:v>
                </c:pt>
                <c:pt idx="16">
                  <c:v>0.98320384000000005</c:v>
                </c:pt>
                <c:pt idx="17">
                  <c:v>0.99407003746093747</c:v>
                </c:pt>
                <c:pt idx="18">
                  <c:v>0.99869679</c:v>
                </c:pt>
                <c:pt idx="19">
                  <c:v>0.99990963121093746</c:v>
                </c:pt>
                <c:pt idx="20">
                  <c:v>1</c:v>
                </c:pt>
              </c:numCache>
            </c:numRef>
          </c:val>
          <c:smooth val="1"/>
          <c:extLst>
            <c:ext xmlns:c16="http://schemas.microsoft.com/office/drawing/2014/chart" uri="{C3380CC4-5D6E-409C-BE32-E72D297353CC}">
              <c16:uniqueId val="{00000001-69B3-694B-A684-F4367F901D19}"/>
            </c:ext>
          </c:extLst>
        </c:ser>
        <c:dLbls>
          <c:showLegendKey val="0"/>
          <c:showVal val="0"/>
          <c:showCatName val="0"/>
          <c:showSerName val="0"/>
          <c:showPercent val="0"/>
          <c:showBubbleSize val="0"/>
        </c:dLbls>
        <c:hiLowLines>
          <c:spPr>
            <a:ln w="0">
              <a:noFill/>
            </a:ln>
          </c:spPr>
        </c:hiLowLines>
        <c:smooth val="0"/>
        <c:axId val="19133467"/>
        <c:axId val="30211008"/>
      </c:lineChart>
      <c:catAx>
        <c:axId val="19133467"/>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True similarity</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0211008"/>
        <c:crosses val="autoZero"/>
        <c:auto val="1"/>
        <c:lblAlgn val="ctr"/>
        <c:lblOffset val="100"/>
        <c:noMultiLvlLbl val="0"/>
      </c:catAx>
      <c:valAx>
        <c:axId val="3021100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Chance of same bucket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13346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20</xdr:row>
      <xdr:rowOff>18720</xdr:rowOff>
    </xdr:from>
    <xdr:to>
      <xdr:col>10</xdr:col>
      <xdr:colOff>402120</xdr:colOff>
      <xdr:row>35</xdr:row>
      <xdr:rowOff>145440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6"/>
  <sheetViews>
    <sheetView showGridLines="0" zoomScaleNormal="100" workbookViewId="0">
      <selection activeCell="C36" sqref="C36"/>
    </sheetView>
  </sheetViews>
  <sheetFormatPr baseColWidth="10" defaultColWidth="8.6640625" defaultRowHeight="15" x14ac:dyDescent="0.2"/>
  <cols>
    <col min="1" max="1" width="3" customWidth="1"/>
    <col min="2" max="2" width="16" customWidth="1"/>
    <col min="3" max="6" width="26" customWidth="1"/>
    <col min="7" max="7" width="10" customWidth="1"/>
  </cols>
  <sheetData>
    <row r="2" spans="2:6" ht="19.5" customHeight="1" x14ac:dyDescent="0.2">
      <c r="B2" s="10" t="s">
        <v>0</v>
      </c>
    </row>
    <row r="3" spans="2:6" ht="15" customHeight="1" x14ac:dyDescent="0.2">
      <c r="B3" s="11" t="s">
        <v>1</v>
      </c>
    </row>
    <row r="5" spans="2:6" ht="15" customHeight="1" x14ac:dyDescent="0.2">
      <c r="B5" s="12" t="s">
        <v>2</v>
      </c>
    </row>
    <row r="6" spans="2:6" ht="15" customHeight="1" x14ac:dyDescent="0.2">
      <c r="B6" s="9" t="s">
        <v>3</v>
      </c>
      <c r="C6" s="9"/>
      <c r="D6" s="9"/>
      <c r="E6" s="9"/>
      <c r="F6" s="9"/>
    </row>
    <row r="7" spans="2:6" ht="15" customHeight="1" x14ac:dyDescent="0.2">
      <c r="B7" s="9"/>
      <c r="C7" s="9"/>
      <c r="D7" s="9"/>
      <c r="E7" s="9"/>
      <c r="F7" s="9"/>
    </row>
    <row r="8" spans="2:6" ht="15" customHeight="1" x14ac:dyDescent="0.2">
      <c r="B8" s="9"/>
      <c r="C8" s="9"/>
      <c r="D8" s="9"/>
      <c r="E8" s="9"/>
      <c r="F8" s="9"/>
    </row>
    <row r="10" spans="2:6" ht="15" customHeight="1" x14ac:dyDescent="0.2">
      <c r="B10" s="12" t="s">
        <v>4</v>
      </c>
    </row>
    <row r="11" spans="2:6" ht="15" customHeight="1" x14ac:dyDescent="0.2">
      <c r="B11" s="13" t="s">
        <v>5</v>
      </c>
      <c r="C11" s="14" t="s">
        <v>6</v>
      </c>
      <c r="E11" s="15" t="s">
        <v>7</v>
      </c>
    </row>
    <row r="12" spans="2:6" ht="15" customHeight="1" x14ac:dyDescent="0.2">
      <c r="B12" s="13" t="s">
        <v>8</v>
      </c>
      <c r="C12" s="14" t="s">
        <v>9</v>
      </c>
      <c r="E12" s="15" t="s">
        <v>10</v>
      </c>
    </row>
    <row r="13" spans="2:6" ht="15" customHeight="1" x14ac:dyDescent="0.2">
      <c r="B13" s="13" t="s">
        <v>11</v>
      </c>
      <c r="C13" s="14" t="s">
        <v>12</v>
      </c>
      <c r="E13" s="15" t="s">
        <v>13</v>
      </c>
    </row>
    <row r="15" spans="2:6" ht="15" customHeight="1" x14ac:dyDescent="0.2">
      <c r="B15" s="12" t="s">
        <v>14</v>
      </c>
    </row>
    <row r="16" spans="2:6" ht="15" customHeight="1" x14ac:dyDescent="0.2">
      <c r="B16" s="16" t="s">
        <v>15</v>
      </c>
      <c r="C16" s="8" t="s">
        <v>16</v>
      </c>
      <c r="D16" s="8"/>
      <c r="E16" s="8"/>
      <c r="F16" s="8"/>
    </row>
    <row r="17" spans="2:6" ht="15" customHeight="1" x14ac:dyDescent="0.2">
      <c r="B17" s="16" t="s">
        <v>17</v>
      </c>
      <c r="C17" s="8" t="s">
        <v>18</v>
      </c>
      <c r="D17" s="8"/>
      <c r="E17" s="8"/>
      <c r="F17" s="8"/>
    </row>
    <row r="18" spans="2:6" ht="15" customHeight="1" x14ac:dyDescent="0.2">
      <c r="B18" s="16" t="s">
        <v>19</v>
      </c>
      <c r="C18" s="8" t="s">
        <v>20</v>
      </c>
      <c r="D18" s="8"/>
      <c r="E18" s="8"/>
      <c r="F18" s="8"/>
    </row>
    <row r="19" spans="2:6" ht="15" customHeight="1" x14ac:dyDescent="0.2">
      <c r="B19" s="16" t="s">
        <v>21</v>
      </c>
      <c r="C19" s="8" t="s">
        <v>22</v>
      </c>
      <c r="D19" s="8"/>
      <c r="E19" s="8"/>
      <c r="F19" s="8"/>
    </row>
    <row r="21" spans="2:6" ht="15" customHeight="1" x14ac:dyDescent="0.2">
      <c r="B21" s="12" t="s">
        <v>23</v>
      </c>
    </row>
    <row r="22" spans="2:6" ht="15" customHeight="1" x14ac:dyDescent="0.2">
      <c r="B22" s="18" t="s">
        <v>24</v>
      </c>
      <c r="C22" s="17" t="s">
        <v>25</v>
      </c>
    </row>
    <row r="23" spans="2:6" ht="15" customHeight="1" x14ac:dyDescent="0.2">
      <c r="B23" s="19" t="s">
        <v>26</v>
      </c>
      <c r="C23" s="17" t="s">
        <v>27</v>
      </c>
    </row>
    <row r="24" spans="2:6" ht="15" customHeight="1" x14ac:dyDescent="0.2">
      <c r="B24" s="20" t="s">
        <v>28</v>
      </c>
      <c r="C24" s="17" t="s">
        <v>29</v>
      </c>
    </row>
    <row r="26" spans="2:6" ht="15" customHeight="1" x14ac:dyDescent="0.2">
      <c r="B26" s="7" t="s">
        <v>30</v>
      </c>
      <c r="C26" s="7"/>
      <c r="D26" s="7"/>
      <c r="E26" s="7"/>
      <c r="F26" s="7"/>
    </row>
  </sheetData>
  <mergeCells count="6">
    <mergeCell ref="B26:F26"/>
    <mergeCell ref="B6:F8"/>
    <mergeCell ref="C16:F16"/>
    <mergeCell ref="C17:F17"/>
    <mergeCell ref="C18:F18"/>
    <mergeCell ref="C19:F1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28"/>
  <sheetViews>
    <sheetView showGridLines="0" tabSelected="1" zoomScale="110" zoomScaleNormal="110" workbookViewId="0">
      <selection activeCell="B28" sqref="B28:E28"/>
    </sheetView>
  </sheetViews>
  <sheetFormatPr baseColWidth="10" defaultColWidth="8.6640625" defaultRowHeight="15" x14ac:dyDescent="0.2"/>
  <cols>
    <col min="1" max="1" width="3" style="32" customWidth="1"/>
    <col min="2" max="2" width="22" style="32" customWidth="1"/>
    <col min="3" max="3" width="18" style="32" customWidth="1"/>
    <col min="4" max="4" width="16" style="32" customWidth="1"/>
    <col min="5" max="5" width="57.1640625" style="32" customWidth="1"/>
    <col min="6" max="16384" width="8.6640625" style="32"/>
  </cols>
  <sheetData>
    <row r="2" spans="2:5" ht="19.5" customHeight="1" x14ac:dyDescent="0.2">
      <c r="B2" s="31" t="s">
        <v>31</v>
      </c>
    </row>
    <row r="3" spans="2:5" ht="15" customHeight="1" x14ac:dyDescent="0.2">
      <c r="B3" s="33" t="s">
        <v>32</v>
      </c>
      <c r="C3" s="33"/>
      <c r="D3" s="33"/>
      <c r="E3" s="33"/>
    </row>
    <row r="4" spans="2:5" ht="15" customHeight="1" x14ac:dyDescent="0.2">
      <c r="B4" s="33"/>
      <c r="C4" s="33"/>
      <c r="D4" s="33"/>
      <c r="E4" s="33"/>
    </row>
    <row r="6" spans="2:5" ht="15" customHeight="1" x14ac:dyDescent="0.2">
      <c r="B6" s="31" t="s">
        <v>5</v>
      </c>
      <c r="C6" s="34" t="s">
        <v>6</v>
      </c>
      <c r="D6" s="34"/>
      <c r="E6" s="34"/>
    </row>
    <row r="7" spans="2:5" ht="15" customHeight="1" x14ac:dyDescent="0.2">
      <c r="B7" s="35" t="s">
        <v>33</v>
      </c>
      <c r="C7" s="35" t="s">
        <v>34</v>
      </c>
      <c r="D7" s="35" t="s">
        <v>35</v>
      </c>
    </row>
    <row r="8" spans="2:5" ht="15" customHeight="1" x14ac:dyDescent="0.2">
      <c r="B8" s="36" t="s">
        <v>36</v>
      </c>
      <c r="C8" s="36" t="s">
        <v>37</v>
      </c>
      <c r="D8" s="37" t="s">
        <v>38</v>
      </c>
    </row>
    <row r="9" spans="2:5" ht="15" customHeight="1" x14ac:dyDescent="0.2">
      <c r="B9" s="36" t="s">
        <v>39</v>
      </c>
      <c r="C9" s="36" t="s">
        <v>40</v>
      </c>
      <c r="D9" s="37" t="s">
        <v>41</v>
      </c>
    </row>
    <row r="10" spans="2:5" ht="15" customHeight="1" x14ac:dyDescent="0.2">
      <c r="B10" s="36" t="s">
        <v>42</v>
      </c>
      <c r="C10" s="36" t="s">
        <v>43</v>
      </c>
      <c r="D10" s="37" t="s">
        <v>44</v>
      </c>
    </row>
    <row r="11" spans="2:5" ht="15" customHeight="1" x14ac:dyDescent="0.2">
      <c r="B11" s="36" t="s">
        <v>45</v>
      </c>
      <c r="C11" s="36" t="s">
        <v>46</v>
      </c>
      <c r="D11" s="37" t="s">
        <v>47</v>
      </c>
    </row>
    <row r="12" spans="2:5" ht="15" customHeight="1" x14ac:dyDescent="0.2">
      <c r="B12" s="36" t="s">
        <v>48</v>
      </c>
      <c r="C12" s="36" t="s">
        <v>49</v>
      </c>
      <c r="D12" s="37" t="s">
        <v>50</v>
      </c>
    </row>
    <row r="14" spans="2:5" ht="15" customHeight="1" x14ac:dyDescent="0.2">
      <c r="B14" s="31" t="s">
        <v>8</v>
      </c>
      <c r="C14" s="34" t="s">
        <v>9</v>
      </c>
      <c r="D14" s="34"/>
      <c r="E14" s="34"/>
    </row>
    <row r="15" spans="2:5" ht="15" customHeight="1" x14ac:dyDescent="0.2">
      <c r="B15" s="35" t="s">
        <v>33</v>
      </c>
      <c r="C15" s="35" t="s">
        <v>34</v>
      </c>
      <c r="D15" s="35" t="s">
        <v>35</v>
      </c>
    </row>
    <row r="16" spans="2:5" ht="15" customHeight="1" x14ac:dyDescent="0.2">
      <c r="B16" s="36" t="s">
        <v>36</v>
      </c>
      <c r="C16" s="36" t="s">
        <v>37</v>
      </c>
      <c r="D16" s="37" t="s">
        <v>38</v>
      </c>
    </row>
    <row r="17" spans="2:5" ht="15" customHeight="1" x14ac:dyDescent="0.2">
      <c r="B17" s="36" t="s">
        <v>39</v>
      </c>
      <c r="C17" s="36" t="s">
        <v>40</v>
      </c>
      <c r="D17" s="37" t="s">
        <v>41</v>
      </c>
    </row>
    <row r="18" spans="2:5" ht="15" customHeight="1" x14ac:dyDescent="0.2">
      <c r="B18" s="36" t="s">
        <v>42</v>
      </c>
      <c r="C18" s="36" t="s">
        <v>43</v>
      </c>
      <c r="D18" s="37" t="s">
        <v>44</v>
      </c>
    </row>
    <row r="19" spans="2:5" ht="15" customHeight="1" x14ac:dyDescent="0.2">
      <c r="B19" s="36" t="s">
        <v>45</v>
      </c>
      <c r="C19" s="36" t="s">
        <v>46</v>
      </c>
      <c r="D19" s="37" t="s">
        <v>51</v>
      </c>
    </row>
    <row r="20" spans="2:5" ht="15" customHeight="1" x14ac:dyDescent="0.2">
      <c r="B20" s="36" t="s">
        <v>48</v>
      </c>
      <c r="C20" s="36" t="s">
        <v>49</v>
      </c>
      <c r="D20" s="37" t="s">
        <v>52</v>
      </c>
    </row>
    <row r="22" spans="2:5" ht="15" customHeight="1" x14ac:dyDescent="0.2">
      <c r="B22" s="31" t="s">
        <v>11</v>
      </c>
      <c r="C22" s="34" t="s">
        <v>12</v>
      </c>
      <c r="D22" s="34"/>
      <c r="E22" s="34"/>
    </row>
    <row r="23" spans="2:5" ht="15" customHeight="1" x14ac:dyDescent="0.2">
      <c r="B23" s="35" t="s">
        <v>33</v>
      </c>
      <c r="C23" s="35" t="s">
        <v>34</v>
      </c>
      <c r="D23" s="35" t="s">
        <v>35</v>
      </c>
    </row>
    <row r="24" spans="2:5" ht="15" customHeight="1" x14ac:dyDescent="0.2">
      <c r="B24" s="36" t="s">
        <v>36</v>
      </c>
      <c r="C24" s="36" t="s">
        <v>37</v>
      </c>
      <c r="D24" s="37" t="s">
        <v>53</v>
      </c>
    </row>
    <row r="25" spans="2:5" ht="15" customHeight="1" x14ac:dyDescent="0.2">
      <c r="B25" s="36" t="s">
        <v>39</v>
      </c>
      <c r="C25" s="36" t="s">
        <v>40</v>
      </c>
      <c r="D25" s="37" t="s">
        <v>54</v>
      </c>
    </row>
    <row r="26" spans="2:5" ht="15" customHeight="1" x14ac:dyDescent="0.2">
      <c r="B26" s="36" t="s">
        <v>42</v>
      </c>
      <c r="C26" s="36" t="s">
        <v>43</v>
      </c>
      <c r="D26" s="37" t="s">
        <v>55</v>
      </c>
    </row>
    <row r="28" spans="2:5" x14ac:dyDescent="0.2">
      <c r="B28" s="38" t="s">
        <v>56</v>
      </c>
      <c r="C28" s="38"/>
      <c r="D28" s="38"/>
      <c r="E28" s="38"/>
    </row>
  </sheetData>
  <mergeCells count="5">
    <mergeCell ref="B3:E4"/>
    <mergeCell ref="C6:E6"/>
    <mergeCell ref="C14:E14"/>
    <mergeCell ref="C22:E22"/>
    <mergeCell ref="B28:E2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25"/>
  <sheetViews>
    <sheetView showGridLines="0" zoomScale="110" zoomScaleNormal="110" workbookViewId="0"/>
  </sheetViews>
  <sheetFormatPr baseColWidth="10" defaultColWidth="8.6640625" defaultRowHeight="15" x14ac:dyDescent="0.2"/>
  <cols>
    <col min="1" max="1" width="3" customWidth="1"/>
    <col min="2" max="2" width="16" customWidth="1"/>
    <col min="3" max="5" width="12" customWidth="1"/>
    <col min="6" max="6" width="4" customWidth="1"/>
    <col min="7" max="7" width="16" customWidth="1"/>
    <col min="8" max="9" width="12" customWidth="1"/>
  </cols>
  <sheetData>
    <row r="2" spans="2:8" ht="19.5" customHeight="1" x14ac:dyDescent="0.2">
      <c r="B2" s="10" t="s">
        <v>57</v>
      </c>
    </row>
    <row r="3" spans="2:8" ht="15" customHeight="1" x14ac:dyDescent="0.2">
      <c r="B3" s="9" t="s">
        <v>58</v>
      </c>
      <c r="C3" s="9"/>
      <c r="D3" s="9"/>
      <c r="E3" s="9"/>
      <c r="F3" s="9"/>
      <c r="G3" s="9"/>
      <c r="H3" s="9"/>
    </row>
    <row r="4" spans="2:8" ht="15" customHeight="1" x14ac:dyDescent="0.2">
      <c r="B4" s="9"/>
      <c r="C4" s="9"/>
      <c r="D4" s="9"/>
      <c r="E4" s="9"/>
      <c r="F4" s="9"/>
      <c r="G4" s="9"/>
      <c r="H4" s="9"/>
    </row>
    <row r="6" spans="2:8" ht="23.25" customHeight="1" x14ac:dyDescent="0.2">
      <c r="B6" s="21" t="s">
        <v>59</v>
      </c>
      <c r="C6" s="21" t="s">
        <v>60</v>
      </c>
      <c r="D6" s="21" t="s">
        <v>61</v>
      </c>
      <c r="E6" s="21" t="s">
        <v>62</v>
      </c>
    </row>
    <row r="7" spans="2:8" ht="15" customHeight="1" x14ac:dyDescent="0.2">
      <c r="B7" s="22" t="s">
        <v>38</v>
      </c>
      <c r="C7" s="22">
        <f>COUNTIF('1 Shingling'!$D$8:$D$12,$B7)</f>
        <v>1</v>
      </c>
      <c r="D7" s="22">
        <f>COUNTIF('1 Shingling'!$D$16:$D$20,$B7)</f>
        <v>1</v>
      </c>
      <c r="E7" s="22">
        <f>COUNTIF('1 Shingling'!$D$24:$D$26,$B7)</f>
        <v>0</v>
      </c>
    </row>
    <row r="8" spans="2:8" ht="15" customHeight="1" x14ac:dyDescent="0.2">
      <c r="B8" s="22" t="s">
        <v>41</v>
      </c>
      <c r="C8" s="22">
        <f>COUNTIF('1 Shingling'!$D$8:$D$12,$B8)</f>
        <v>1</v>
      </c>
      <c r="D8" s="22">
        <f>COUNTIF('1 Shingling'!$D$16:$D$20,$B8)</f>
        <v>1</v>
      </c>
      <c r="E8" s="22">
        <f>COUNTIF('1 Shingling'!$D$24:$D$26,$B8)</f>
        <v>0</v>
      </c>
    </row>
    <row r="9" spans="2:8" ht="15" customHeight="1" x14ac:dyDescent="0.2">
      <c r="B9" s="22" t="s">
        <v>44</v>
      </c>
      <c r="C9" s="22">
        <f>COUNTIF('1 Shingling'!$D$8:$D$12,$B9)</f>
        <v>1</v>
      </c>
      <c r="D9" s="22">
        <f>COUNTIF('1 Shingling'!$D$16:$D$20,$B9)</f>
        <v>1</v>
      </c>
      <c r="E9" s="22">
        <f>COUNTIF('1 Shingling'!$D$24:$D$26,$B9)</f>
        <v>0</v>
      </c>
    </row>
    <row r="10" spans="2:8" ht="15" customHeight="1" x14ac:dyDescent="0.2">
      <c r="B10" s="22" t="s">
        <v>47</v>
      </c>
      <c r="C10" s="22">
        <f>COUNTIF('1 Shingling'!$D$8:$D$12,$B10)</f>
        <v>1</v>
      </c>
      <c r="D10" s="22">
        <f>COUNTIF('1 Shingling'!$D$16:$D$20,$B10)</f>
        <v>0</v>
      </c>
      <c r="E10" s="22">
        <f>COUNTIF('1 Shingling'!$D$24:$D$26,$B10)</f>
        <v>0</v>
      </c>
    </row>
    <row r="11" spans="2:8" ht="15" customHeight="1" x14ac:dyDescent="0.2">
      <c r="B11" s="22" t="s">
        <v>50</v>
      </c>
      <c r="C11" s="22">
        <f>COUNTIF('1 Shingling'!$D$8:$D$12,$B11)</f>
        <v>1</v>
      </c>
      <c r="D11" s="22">
        <f>COUNTIF('1 Shingling'!$D$16:$D$20,$B11)</f>
        <v>0</v>
      </c>
      <c r="E11" s="22">
        <f>COUNTIF('1 Shingling'!$D$24:$D$26,$B11)</f>
        <v>0</v>
      </c>
    </row>
    <row r="12" spans="2:8" ht="15" customHeight="1" x14ac:dyDescent="0.2">
      <c r="B12" s="22" t="s">
        <v>51</v>
      </c>
      <c r="C12" s="22">
        <f>COUNTIF('1 Shingling'!$D$8:$D$12,$B12)</f>
        <v>0</v>
      </c>
      <c r="D12" s="22">
        <f>COUNTIF('1 Shingling'!$D$16:$D$20,$B12)</f>
        <v>1</v>
      </c>
      <c r="E12" s="22">
        <f>COUNTIF('1 Shingling'!$D$24:$D$26,$B12)</f>
        <v>0</v>
      </c>
    </row>
    <row r="13" spans="2:8" ht="15" customHeight="1" x14ac:dyDescent="0.2">
      <c r="B13" s="22" t="s">
        <v>52</v>
      </c>
      <c r="C13" s="22">
        <f>COUNTIF('1 Shingling'!$D$8:$D$12,$B13)</f>
        <v>0</v>
      </c>
      <c r="D13" s="22">
        <f>COUNTIF('1 Shingling'!$D$16:$D$20,$B13)</f>
        <v>1</v>
      </c>
      <c r="E13" s="22">
        <f>COUNTIF('1 Shingling'!$D$24:$D$26,$B13)</f>
        <v>0</v>
      </c>
    </row>
    <row r="14" spans="2:8" ht="15" customHeight="1" x14ac:dyDescent="0.2">
      <c r="B14" s="22" t="s">
        <v>53</v>
      </c>
      <c r="C14" s="22">
        <f>COUNTIF('1 Shingling'!$D$8:$D$12,$B14)</f>
        <v>0</v>
      </c>
      <c r="D14" s="22">
        <f>COUNTIF('1 Shingling'!$D$16:$D$20,$B14)</f>
        <v>0</v>
      </c>
      <c r="E14" s="22">
        <f>COUNTIF('1 Shingling'!$D$24:$D$26,$B14)</f>
        <v>1</v>
      </c>
    </row>
    <row r="15" spans="2:8" ht="15" customHeight="1" x14ac:dyDescent="0.2">
      <c r="B15" s="22" t="s">
        <v>54</v>
      </c>
      <c r="C15" s="22">
        <f>COUNTIF('1 Shingling'!$D$8:$D$12,$B15)</f>
        <v>0</v>
      </c>
      <c r="D15" s="22">
        <f>COUNTIF('1 Shingling'!$D$16:$D$20,$B15)</f>
        <v>0</v>
      </c>
      <c r="E15" s="22">
        <f>COUNTIF('1 Shingling'!$D$24:$D$26,$B15)</f>
        <v>1</v>
      </c>
    </row>
    <row r="16" spans="2:8" ht="15" customHeight="1" x14ac:dyDescent="0.2">
      <c r="B16" s="22" t="s">
        <v>55</v>
      </c>
      <c r="C16" s="22">
        <f>COUNTIF('1 Shingling'!$D$8:$D$12,$B16)</f>
        <v>0</v>
      </c>
      <c r="D16" s="22">
        <f>COUNTIF('1 Shingling'!$D$16:$D$20,$B16)</f>
        <v>0</v>
      </c>
      <c r="E16" s="22">
        <f>COUNTIF('1 Shingling'!$D$24:$D$26,$B16)</f>
        <v>1</v>
      </c>
    </row>
    <row r="18" spans="2:8" ht="15" customHeight="1" x14ac:dyDescent="0.2">
      <c r="B18" s="12" t="s">
        <v>63</v>
      </c>
    </row>
    <row r="19" spans="2:8" ht="23.25" customHeight="1" x14ac:dyDescent="0.2">
      <c r="B19" s="21" t="s">
        <v>64</v>
      </c>
      <c r="C19" s="21" t="s">
        <v>65</v>
      </c>
      <c r="D19" s="21" t="s">
        <v>66</v>
      </c>
      <c r="E19" s="21" t="s">
        <v>67</v>
      </c>
    </row>
    <row r="20" spans="2:8" ht="15" customHeight="1" x14ac:dyDescent="0.2">
      <c r="B20" s="24" t="s">
        <v>68</v>
      </c>
      <c r="C20" s="22">
        <f>SUMPRODUCT($C$7:$C$16*$D$7:$D$16)</f>
        <v>3</v>
      </c>
      <c r="D20" s="22">
        <f>SUMPRODUCT(--(($C$7:$C$16+$D$7:$D$16)&gt;0))</f>
        <v>7</v>
      </c>
      <c r="E20" s="25">
        <f>C20/D20</f>
        <v>0.42857142857142855</v>
      </c>
    </row>
    <row r="21" spans="2:8" ht="15" customHeight="1" x14ac:dyDescent="0.2">
      <c r="B21" s="24" t="s">
        <v>69</v>
      </c>
      <c r="C21" s="22">
        <f>SUMPRODUCT($C$7:$C$16*$E$7:$E$16)</f>
        <v>0</v>
      </c>
      <c r="D21" s="22">
        <f>SUMPRODUCT(--(($C$7:$C$16+$E$7:$E$16)&gt;0))</f>
        <v>8</v>
      </c>
      <c r="E21" s="25">
        <f>C21/D21</f>
        <v>0</v>
      </c>
    </row>
    <row r="22" spans="2:8" ht="15" customHeight="1" x14ac:dyDescent="0.2">
      <c r="B22" s="24" t="s">
        <v>70</v>
      </c>
      <c r="C22" s="22">
        <f>SUMPRODUCT($D$7:$D$16*$E$7:$E$16)</f>
        <v>0</v>
      </c>
      <c r="D22" s="22">
        <f>SUMPRODUCT(--(($D$7:$D$16+$E$7:$E$16)&gt;0))</f>
        <v>8</v>
      </c>
      <c r="E22" s="25">
        <f>C22/D22</f>
        <v>0</v>
      </c>
    </row>
    <row r="24" spans="2:8" ht="15" customHeight="1" x14ac:dyDescent="0.2">
      <c r="B24" s="6" t="s">
        <v>71</v>
      </c>
      <c r="C24" s="6"/>
      <c r="D24" s="6"/>
      <c r="E24" s="6"/>
      <c r="F24" s="6"/>
      <c r="G24" s="6"/>
      <c r="H24" s="6"/>
    </row>
    <row r="25" spans="2:8" ht="15" customHeight="1" x14ac:dyDescent="0.2">
      <c r="B25" s="6"/>
      <c r="C25" s="6"/>
      <c r="D25" s="6"/>
      <c r="E25" s="6"/>
      <c r="F25" s="6"/>
      <c r="G25" s="6"/>
      <c r="H25" s="6"/>
    </row>
  </sheetData>
  <mergeCells count="2">
    <mergeCell ref="B3:H4"/>
    <mergeCell ref="B24:H2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25"/>
  <sheetViews>
    <sheetView showGridLines="0" zoomScale="110" zoomScaleNormal="110" workbookViewId="0">
      <selection activeCell="H30" sqref="H30"/>
    </sheetView>
  </sheetViews>
  <sheetFormatPr baseColWidth="10" defaultColWidth="8.6640625" defaultRowHeight="15" x14ac:dyDescent="0.2"/>
  <cols>
    <col min="1" max="1" width="3" customWidth="1"/>
    <col min="2" max="2" width="10" customWidth="1"/>
    <col min="3" max="3" width="16" customWidth="1"/>
    <col min="4" max="6" width="10" customWidth="1"/>
    <col min="7" max="7" width="4" customWidth="1"/>
    <col min="8" max="8" width="10" customWidth="1"/>
    <col min="9" max="9" width="16" customWidth="1"/>
    <col min="10" max="12" width="10" customWidth="1"/>
  </cols>
  <sheetData>
    <row r="2" spans="2:12" ht="20" x14ac:dyDescent="0.2">
      <c r="B2" s="10" t="s">
        <v>72</v>
      </c>
    </row>
    <row r="3" spans="2:12" ht="15" customHeight="1" x14ac:dyDescent="0.2">
      <c r="B3" s="9" t="s">
        <v>73</v>
      </c>
      <c r="C3" s="9"/>
      <c r="D3" s="9"/>
      <c r="E3" s="9"/>
      <c r="F3" s="9"/>
      <c r="G3" s="9"/>
      <c r="H3" s="9"/>
      <c r="I3" s="9"/>
      <c r="J3" s="9"/>
      <c r="K3" s="9"/>
      <c r="L3" s="9"/>
    </row>
    <row r="4" spans="2:12" x14ac:dyDescent="0.2">
      <c r="B4" s="9"/>
      <c r="C4" s="9"/>
      <c r="D4" s="9"/>
      <c r="E4" s="9"/>
      <c r="F4" s="9"/>
      <c r="G4" s="9"/>
      <c r="H4" s="9"/>
      <c r="I4" s="9"/>
      <c r="J4" s="9"/>
      <c r="K4" s="9"/>
      <c r="L4" s="9"/>
    </row>
    <row r="6" spans="2:12" ht="16" x14ac:dyDescent="0.2">
      <c r="B6" s="5" t="s">
        <v>74</v>
      </c>
      <c r="C6" s="5"/>
      <c r="D6" s="5"/>
      <c r="E6" s="5"/>
      <c r="F6" s="5"/>
      <c r="H6" s="5" t="s">
        <v>75</v>
      </c>
      <c r="I6" s="5"/>
      <c r="J6" s="5"/>
      <c r="K6" s="5"/>
      <c r="L6" s="5"/>
    </row>
    <row r="7" spans="2:12" ht="28" x14ac:dyDescent="0.2">
      <c r="B7" s="21" t="s">
        <v>76</v>
      </c>
      <c r="C7" s="21" t="s">
        <v>77</v>
      </c>
      <c r="D7" s="21" t="s">
        <v>78</v>
      </c>
      <c r="E7" s="21" t="s">
        <v>79</v>
      </c>
      <c r="F7" s="21" t="s">
        <v>80</v>
      </c>
      <c r="H7" s="21" t="s">
        <v>76</v>
      </c>
      <c r="I7" s="21" t="s">
        <v>77</v>
      </c>
      <c r="J7" s="21" t="s">
        <v>78</v>
      </c>
      <c r="K7" s="21" t="s">
        <v>79</v>
      </c>
      <c r="L7" s="21" t="s">
        <v>80</v>
      </c>
    </row>
    <row r="8" spans="2:12" x14ac:dyDescent="0.2">
      <c r="B8" s="24" t="s">
        <v>81</v>
      </c>
      <c r="C8" s="22" t="str">
        <f>INDEX('2 True Similarity'!$B$7:$B$16,MATCH(B8+0,'3 MinHash'!$F$9:$F$18,0))</f>
        <v>on a</v>
      </c>
      <c r="D8" s="22" t="str">
        <f>IF(INDEX('2 True Similarity'!$C$7:$C$16,MATCH(B8+0,'3 MinHash'!$F$9:$F$18,0))=1,"YES","-")</f>
        <v>-</v>
      </c>
      <c r="E8" s="22" t="str">
        <f>IF(INDEX('2 True Similarity'!$D$7:$D$16,MATCH(B8+0,'3 MinHash'!$F$9:$F$18,0))=1,"YES","-")</f>
        <v>YES</v>
      </c>
      <c r="F8" s="22" t="str">
        <f>IF(INDEX('2 True Similarity'!$E$7:$E$16,MATCH(B8+0,'3 MinHash'!$F$9:$F$18,0))=1,"YES","-")</f>
        <v>-</v>
      </c>
      <c r="H8" s="24" t="s">
        <v>81</v>
      </c>
      <c r="I8" s="22" t="str">
        <f>INDEX('2 True Similarity'!$B$7:$B$16,MATCH(H8+0,'3 MinHash'!$C$27:$L$27,0))</f>
        <v>dogs love</v>
      </c>
      <c r="J8" s="22" t="str">
        <f>IF(INDEX('2 True Similarity'!$C$7:$C$16,MATCH(H8+0,'3 MinHash'!$C$27:$L$27,0))=1,"YES","-")</f>
        <v>-</v>
      </c>
      <c r="K8" s="22" t="str">
        <f>IF(INDEX('2 True Similarity'!$D$7:$D$16,MATCH(H8+0,'3 MinHash'!$C$27:$L$27,0))=1,"YES","-")</f>
        <v>-</v>
      </c>
      <c r="L8" s="22" t="str">
        <f>IF(INDEX('2 True Similarity'!$E$7:$E$16,MATCH(H8+0,'3 MinHash'!$C$27:$L$27,0))=1,"YES","-")</f>
        <v>YES</v>
      </c>
    </row>
    <row r="9" spans="2:12" x14ac:dyDescent="0.2">
      <c r="B9" s="24" t="s">
        <v>82</v>
      </c>
      <c r="C9" s="22" t="str">
        <f>INDEX('2 True Similarity'!$B$7:$B$16,MATCH(B9+0,'3 MinHash'!$F$9:$F$18,0))</f>
        <v>sat on</v>
      </c>
      <c r="D9" s="22" t="str">
        <f>IF(INDEX('2 True Similarity'!$C$7:$C$16,MATCH(B9+0,'3 MinHash'!$F$9:$F$18,0))=1,"YES","-")</f>
        <v>YES</v>
      </c>
      <c r="E9" s="22" t="str">
        <f>IF(INDEX('2 True Similarity'!$D$7:$D$16,MATCH(B9+0,'3 MinHash'!$F$9:$F$18,0))=1,"YES","-")</f>
        <v>YES</v>
      </c>
      <c r="F9" s="22" t="str">
        <f>IF(INDEX('2 True Similarity'!$E$7:$E$16,MATCH(B9+0,'3 MinHash'!$F$9:$F$18,0))=1,"YES","-")</f>
        <v>-</v>
      </c>
      <c r="H9" s="24" t="s">
        <v>82</v>
      </c>
      <c r="I9" s="22" t="str">
        <f>INDEX('2 True Similarity'!$B$7:$B$16,MATCH(H9+0,'3 MinHash'!$C$27:$L$27,0))</f>
        <v>the cat</v>
      </c>
      <c r="J9" s="22" t="str">
        <f>IF(INDEX('2 True Similarity'!$C$7:$C$16,MATCH(H9+0,'3 MinHash'!$C$27:$L$27,0))=1,"YES","-")</f>
        <v>YES</v>
      </c>
      <c r="K9" s="22" t="str">
        <f>IF(INDEX('2 True Similarity'!$D$7:$D$16,MATCH(H9+0,'3 MinHash'!$C$27:$L$27,0))=1,"YES","-")</f>
        <v>YES</v>
      </c>
      <c r="L9" s="22" t="str">
        <f>IF(INDEX('2 True Similarity'!$E$7:$E$16,MATCH(H9+0,'3 MinHash'!$C$27:$L$27,0))=1,"YES","-")</f>
        <v>-</v>
      </c>
    </row>
    <row r="10" spans="2:12" x14ac:dyDescent="0.2">
      <c r="B10" s="24" t="s">
        <v>83</v>
      </c>
      <c r="C10" s="22" t="str">
        <f>INDEX('2 True Similarity'!$B$7:$B$16,MATCH(B10+0,'3 MinHash'!$F$9:$F$18,0))</f>
        <v>love long</v>
      </c>
      <c r="D10" s="22" t="str">
        <f>IF(INDEX('2 True Similarity'!$C$7:$C$16,MATCH(B10+0,'3 MinHash'!$F$9:$F$18,0))=1,"YES","-")</f>
        <v>-</v>
      </c>
      <c r="E10" s="22" t="str">
        <f>IF(INDEX('2 True Similarity'!$D$7:$D$16,MATCH(B10+0,'3 MinHash'!$F$9:$F$18,0))=1,"YES","-")</f>
        <v>-</v>
      </c>
      <c r="F10" s="22" t="str">
        <f>IF(INDEX('2 True Similarity'!$E$7:$E$16,MATCH(B10+0,'3 MinHash'!$F$9:$F$18,0))=1,"YES","-")</f>
        <v>YES</v>
      </c>
      <c r="H10" s="24" t="s">
        <v>83</v>
      </c>
      <c r="I10" s="22" t="str">
        <f>INDEX('2 True Similarity'!$B$7:$B$16,MATCH(H10+0,'3 MinHash'!$C$27:$L$27,0))</f>
        <v>cat sat</v>
      </c>
      <c r="J10" s="22" t="str">
        <f>IF(INDEX('2 True Similarity'!$C$7:$C$16,MATCH(H10+0,'3 MinHash'!$C$27:$L$27,0))=1,"YES","-")</f>
        <v>YES</v>
      </c>
      <c r="K10" s="22" t="str">
        <f>IF(INDEX('2 True Similarity'!$D$7:$D$16,MATCH(H10+0,'3 MinHash'!$C$27:$L$27,0))=1,"YES","-")</f>
        <v>YES</v>
      </c>
      <c r="L10" s="22" t="str">
        <f>IF(INDEX('2 True Similarity'!$E$7:$E$16,MATCH(H10+0,'3 MinHash'!$C$27:$L$27,0))=1,"YES","-")</f>
        <v>-</v>
      </c>
    </row>
    <row r="11" spans="2:12" x14ac:dyDescent="0.2">
      <c r="B11" s="24" t="s">
        <v>84</v>
      </c>
      <c r="C11" s="22" t="str">
        <f>INDEX('2 True Similarity'!$B$7:$B$16,MATCH(B11+0,'3 MinHash'!$F$9:$F$18,0))</f>
        <v>cat sat</v>
      </c>
      <c r="D11" s="22" t="str">
        <f>IF(INDEX('2 True Similarity'!$C$7:$C$16,MATCH(B11+0,'3 MinHash'!$F$9:$F$18,0))=1,"YES","-")</f>
        <v>YES</v>
      </c>
      <c r="E11" s="22" t="str">
        <f>IF(INDEX('2 True Similarity'!$D$7:$D$16,MATCH(B11+0,'3 MinHash'!$F$9:$F$18,0))=1,"YES","-")</f>
        <v>YES</v>
      </c>
      <c r="F11" s="22" t="str">
        <f>IF(INDEX('2 True Similarity'!$E$7:$E$16,MATCH(B11+0,'3 MinHash'!$F$9:$F$18,0))=1,"YES","-")</f>
        <v>-</v>
      </c>
      <c r="H11" s="24" t="s">
        <v>84</v>
      </c>
      <c r="I11" s="22" t="str">
        <f>INDEX('2 True Similarity'!$B$7:$B$16,MATCH(H11+0,'3 MinHash'!$C$27:$L$27,0))</f>
        <v>love long</v>
      </c>
      <c r="J11" s="22" t="str">
        <f>IF(INDEX('2 True Similarity'!$C$7:$C$16,MATCH(H11+0,'3 MinHash'!$C$27:$L$27,0))=1,"YES","-")</f>
        <v>-</v>
      </c>
      <c r="K11" s="22" t="str">
        <f>IF(INDEX('2 True Similarity'!$D$7:$D$16,MATCH(H11+0,'3 MinHash'!$C$27:$L$27,0))=1,"YES","-")</f>
        <v>-</v>
      </c>
      <c r="L11" s="22" t="str">
        <f>IF(INDEX('2 True Similarity'!$E$7:$E$16,MATCH(H11+0,'3 MinHash'!$C$27:$L$27,0))=1,"YES","-")</f>
        <v>YES</v>
      </c>
    </row>
    <row r="12" spans="2:12" x14ac:dyDescent="0.2">
      <c r="B12" s="24" t="s">
        <v>85</v>
      </c>
      <c r="C12" s="22" t="str">
        <f>INDEX('2 True Similarity'!$B$7:$B$16,MATCH(B12+0,'3 MinHash'!$F$9:$F$18,0))</f>
        <v>on the</v>
      </c>
      <c r="D12" s="22" t="str">
        <f>IF(INDEX('2 True Similarity'!$C$7:$C$16,MATCH(B12+0,'3 MinHash'!$F$9:$F$18,0))=1,"YES","-")</f>
        <v>YES</v>
      </c>
      <c r="E12" s="22" t="str">
        <f>IF(INDEX('2 True Similarity'!$D$7:$D$16,MATCH(B12+0,'3 MinHash'!$F$9:$F$18,0))=1,"YES","-")</f>
        <v>-</v>
      </c>
      <c r="F12" s="22" t="str">
        <f>IF(INDEX('2 True Similarity'!$E$7:$E$16,MATCH(B12+0,'3 MinHash'!$F$9:$F$18,0))=1,"YES","-")</f>
        <v>-</v>
      </c>
      <c r="H12" s="24" t="s">
        <v>85</v>
      </c>
      <c r="I12" s="22" t="str">
        <f>INDEX('2 True Similarity'!$B$7:$B$16,MATCH(H12+0,'3 MinHash'!$C$27:$L$27,0))</f>
        <v>sat on</v>
      </c>
      <c r="J12" s="22" t="str">
        <f>IF(INDEX('2 True Similarity'!$C$7:$C$16,MATCH(H12+0,'3 MinHash'!$C$27:$L$27,0))=1,"YES","-")</f>
        <v>YES</v>
      </c>
      <c r="K12" s="22" t="str">
        <f>IF(INDEX('2 True Similarity'!$D$7:$D$16,MATCH(H12+0,'3 MinHash'!$C$27:$L$27,0))=1,"YES","-")</f>
        <v>YES</v>
      </c>
      <c r="L12" s="22" t="str">
        <f>IF(INDEX('2 True Similarity'!$E$7:$E$16,MATCH(H12+0,'3 MinHash'!$C$27:$L$27,0))=1,"YES","-")</f>
        <v>-</v>
      </c>
    </row>
    <row r="13" spans="2:12" x14ac:dyDescent="0.2">
      <c r="B13" s="24" t="s">
        <v>86</v>
      </c>
      <c r="C13" s="22" t="str">
        <f>INDEX('2 True Similarity'!$B$7:$B$16,MATCH(B13+0,'3 MinHash'!$F$9:$F$18,0))</f>
        <v>long walks</v>
      </c>
      <c r="D13" s="22" t="str">
        <f>IF(INDEX('2 True Similarity'!$C$7:$C$16,MATCH(B13+0,'3 MinHash'!$F$9:$F$18,0))=1,"YES","-")</f>
        <v>-</v>
      </c>
      <c r="E13" s="22" t="str">
        <f>IF(INDEX('2 True Similarity'!$D$7:$D$16,MATCH(B13+0,'3 MinHash'!$F$9:$F$18,0))=1,"YES","-")</f>
        <v>-</v>
      </c>
      <c r="F13" s="22" t="str">
        <f>IF(INDEX('2 True Similarity'!$E$7:$E$16,MATCH(B13+0,'3 MinHash'!$F$9:$F$18,0))=1,"YES","-")</f>
        <v>YES</v>
      </c>
      <c r="H13" s="24" t="s">
        <v>86</v>
      </c>
      <c r="I13" s="22" t="str">
        <f>INDEX('2 True Similarity'!$B$7:$B$16,MATCH(H13+0,'3 MinHash'!$C$27:$L$27,0))</f>
        <v>the mat</v>
      </c>
      <c r="J13" s="22" t="str">
        <f>IF(INDEX('2 True Similarity'!$C$7:$C$16,MATCH(H13+0,'3 MinHash'!$C$27:$L$27,0))=1,"YES","-")</f>
        <v>YES</v>
      </c>
      <c r="K13" s="22" t="str">
        <f>IF(INDEX('2 True Similarity'!$D$7:$D$16,MATCH(H13+0,'3 MinHash'!$C$27:$L$27,0))=1,"YES","-")</f>
        <v>-</v>
      </c>
      <c r="L13" s="22" t="str">
        <f>IF(INDEX('2 True Similarity'!$E$7:$E$16,MATCH(H13+0,'3 MinHash'!$C$27:$L$27,0))=1,"YES","-")</f>
        <v>-</v>
      </c>
    </row>
    <row r="14" spans="2:12" x14ac:dyDescent="0.2">
      <c r="B14" s="24" t="s">
        <v>87</v>
      </c>
      <c r="C14" s="22" t="str">
        <f>INDEX('2 True Similarity'!$B$7:$B$16,MATCH(B14+0,'3 MinHash'!$F$9:$F$18,0))</f>
        <v>dogs love</v>
      </c>
      <c r="D14" s="22" t="str">
        <f>IF(INDEX('2 True Similarity'!$C$7:$C$16,MATCH(B14+0,'3 MinHash'!$F$9:$F$18,0))=1,"YES","-")</f>
        <v>-</v>
      </c>
      <c r="E14" s="22" t="str">
        <f>IF(INDEX('2 True Similarity'!$D$7:$D$16,MATCH(B14+0,'3 MinHash'!$F$9:$F$18,0))=1,"YES","-")</f>
        <v>-</v>
      </c>
      <c r="F14" s="22" t="str">
        <f>IF(INDEX('2 True Similarity'!$E$7:$E$16,MATCH(B14+0,'3 MinHash'!$F$9:$F$18,0))=1,"YES","-")</f>
        <v>YES</v>
      </c>
      <c r="H14" s="24" t="s">
        <v>87</v>
      </c>
      <c r="I14" s="22" t="str">
        <f>INDEX('2 True Similarity'!$B$7:$B$16,MATCH(H14+0,'3 MinHash'!$C$27:$L$27,0))</f>
        <v>on the</v>
      </c>
      <c r="J14" s="22" t="str">
        <f>IF(INDEX('2 True Similarity'!$C$7:$C$16,MATCH(H14+0,'3 MinHash'!$C$27:$L$27,0))=1,"YES","-")</f>
        <v>YES</v>
      </c>
      <c r="K14" s="22" t="str">
        <f>IF(INDEX('2 True Similarity'!$D$7:$D$16,MATCH(H14+0,'3 MinHash'!$C$27:$L$27,0))=1,"YES","-")</f>
        <v>-</v>
      </c>
      <c r="L14" s="22" t="str">
        <f>IF(INDEX('2 True Similarity'!$E$7:$E$16,MATCH(H14+0,'3 MinHash'!$C$27:$L$27,0))=1,"YES","-")</f>
        <v>-</v>
      </c>
    </row>
    <row r="15" spans="2:12" x14ac:dyDescent="0.2">
      <c r="B15" s="24" t="s">
        <v>88</v>
      </c>
      <c r="C15" s="22" t="str">
        <f>INDEX('2 True Similarity'!$B$7:$B$16,MATCH(B15+0,'3 MinHash'!$F$9:$F$18,0))</f>
        <v>the mat</v>
      </c>
      <c r="D15" s="22" t="str">
        <f>IF(INDEX('2 True Similarity'!$C$7:$C$16,MATCH(B15+0,'3 MinHash'!$F$9:$F$18,0))=1,"YES","-")</f>
        <v>YES</v>
      </c>
      <c r="E15" s="22" t="str">
        <f>IF(INDEX('2 True Similarity'!$D$7:$D$16,MATCH(B15+0,'3 MinHash'!$F$9:$F$18,0))=1,"YES","-")</f>
        <v>-</v>
      </c>
      <c r="F15" s="22" t="str">
        <f>IF(INDEX('2 True Similarity'!$E$7:$E$16,MATCH(B15+0,'3 MinHash'!$F$9:$F$18,0))=1,"YES","-")</f>
        <v>-</v>
      </c>
      <c r="H15" s="24" t="s">
        <v>88</v>
      </c>
      <c r="I15" s="22" t="str">
        <f>INDEX('2 True Similarity'!$B$7:$B$16,MATCH(H15+0,'3 MinHash'!$C$27:$L$27,0))</f>
        <v>a mat</v>
      </c>
      <c r="J15" s="22" t="str">
        <f>IF(INDEX('2 True Similarity'!$C$7:$C$16,MATCH(H15+0,'3 MinHash'!$C$27:$L$27,0))=1,"YES","-")</f>
        <v>-</v>
      </c>
      <c r="K15" s="22" t="str">
        <f>IF(INDEX('2 True Similarity'!$D$7:$D$16,MATCH(H15+0,'3 MinHash'!$C$27:$L$27,0))=1,"YES","-")</f>
        <v>YES</v>
      </c>
      <c r="L15" s="22" t="str">
        <f>IF(INDEX('2 True Similarity'!$E$7:$E$16,MATCH(H15+0,'3 MinHash'!$C$27:$L$27,0))=1,"YES","-")</f>
        <v>-</v>
      </c>
    </row>
    <row r="16" spans="2:12" x14ac:dyDescent="0.2">
      <c r="B16" s="24" t="s">
        <v>89</v>
      </c>
      <c r="C16" s="22" t="str">
        <f>INDEX('2 True Similarity'!$B$7:$B$16,MATCH(B16+0,'3 MinHash'!$F$9:$F$18,0))</f>
        <v>the cat</v>
      </c>
      <c r="D16" s="22" t="str">
        <f>IF(INDEX('2 True Similarity'!$C$7:$C$16,MATCH(B16+0,'3 MinHash'!$F$9:$F$18,0))=1,"YES","-")</f>
        <v>YES</v>
      </c>
      <c r="E16" s="22" t="str">
        <f>IF(INDEX('2 True Similarity'!$D$7:$D$16,MATCH(B16+0,'3 MinHash'!$F$9:$F$18,0))=1,"YES","-")</f>
        <v>YES</v>
      </c>
      <c r="F16" s="22" t="str">
        <f>IF(INDEX('2 True Similarity'!$E$7:$E$16,MATCH(B16+0,'3 MinHash'!$F$9:$F$18,0))=1,"YES","-")</f>
        <v>-</v>
      </c>
      <c r="H16" s="24" t="s">
        <v>89</v>
      </c>
      <c r="I16" s="22" t="str">
        <f>INDEX('2 True Similarity'!$B$7:$B$16,MATCH(H16+0,'3 MinHash'!$C$27:$L$27,0))</f>
        <v>long walks</v>
      </c>
      <c r="J16" s="22" t="str">
        <f>IF(INDEX('2 True Similarity'!$C$7:$C$16,MATCH(H16+0,'3 MinHash'!$C$27:$L$27,0))=1,"YES","-")</f>
        <v>-</v>
      </c>
      <c r="K16" s="22" t="str">
        <f>IF(INDEX('2 True Similarity'!$D$7:$D$16,MATCH(H16+0,'3 MinHash'!$C$27:$L$27,0))=1,"YES","-")</f>
        <v>-</v>
      </c>
      <c r="L16" s="22" t="str">
        <f>IF(INDEX('2 True Similarity'!$E$7:$E$16,MATCH(H16+0,'3 MinHash'!$C$27:$L$27,0))=1,"YES","-")</f>
        <v>YES</v>
      </c>
    </row>
    <row r="17" spans="2:12" x14ac:dyDescent="0.2">
      <c r="B17" s="24" t="s">
        <v>90</v>
      </c>
      <c r="C17" s="22" t="str">
        <f>INDEX('2 True Similarity'!$B$7:$B$16,MATCH(B17+0,'3 MinHash'!$F$9:$F$18,0))</f>
        <v>a mat</v>
      </c>
      <c r="D17" s="22" t="str">
        <f>IF(INDEX('2 True Similarity'!$C$7:$C$16,MATCH(B17+0,'3 MinHash'!$F$9:$F$18,0))=1,"YES","-")</f>
        <v>-</v>
      </c>
      <c r="E17" s="22" t="str">
        <f>IF(INDEX('2 True Similarity'!$D$7:$D$16,MATCH(B17+0,'3 MinHash'!$F$9:$F$18,0))=1,"YES","-")</f>
        <v>YES</v>
      </c>
      <c r="F17" s="22" t="str">
        <f>IF(INDEX('2 True Similarity'!$E$7:$E$16,MATCH(B17+0,'3 MinHash'!$F$9:$F$18,0))=1,"YES","-")</f>
        <v>-</v>
      </c>
      <c r="H17" s="24" t="s">
        <v>90</v>
      </c>
      <c r="I17" s="22" t="str">
        <f>INDEX('2 True Similarity'!$B$7:$B$16,MATCH(H17+0,'3 MinHash'!$C$27:$L$27,0))</f>
        <v>on a</v>
      </c>
      <c r="J17" s="22" t="str">
        <f>IF(INDEX('2 True Similarity'!$C$7:$C$16,MATCH(H17+0,'3 MinHash'!$C$27:$L$27,0))=1,"YES","-")</f>
        <v>-</v>
      </c>
      <c r="K17" s="22" t="str">
        <f>IF(INDEX('2 True Similarity'!$D$7:$D$16,MATCH(H17+0,'3 MinHash'!$C$27:$L$27,0))=1,"YES","-")</f>
        <v>YES</v>
      </c>
      <c r="L17" s="22" t="str">
        <f>IF(INDEX('2 True Similarity'!$E$7:$E$16,MATCH(H17+0,'3 MinHash'!$C$27:$L$27,0))=1,"YES","-")</f>
        <v>-</v>
      </c>
    </row>
    <row r="18" spans="2:12" x14ac:dyDescent="0.2">
      <c r="B18" s="4" t="s">
        <v>91</v>
      </c>
      <c r="C18" s="4"/>
      <c r="D18" s="26">
        <f>MATCH("YES",D8:D17,0)</f>
        <v>2</v>
      </c>
      <c r="E18" s="26">
        <f>MATCH("YES",E8:E17,0)</f>
        <v>1</v>
      </c>
      <c r="F18" s="26">
        <f>MATCH("YES",F8:F17,0)</f>
        <v>3</v>
      </c>
      <c r="H18" s="4" t="s">
        <v>91</v>
      </c>
      <c r="I18" s="4"/>
      <c r="J18" s="26">
        <f>MATCH("YES",J8:J17,0)</f>
        <v>2</v>
      </c>
      <c r="K18" s="26">
        <f>MATCH("YES",K8:K17,0)</f>
        <v>2</v>
      </c>
      <c r="L18" s="26">
        <f>MATCH("YES",L8:L17,0)</f>
        <v>1</v>
      </c>
    </row>
    <row r="20" spans="2:12" ht="15" customHeight="1" x14ac:dyDescent="0.2">
      <c r="B20" s="9" t="s">
        <v>92</v>
      </c>
      <c r="C20" s="9"/>
      <c r="D20" s="9"/>
      <c r="E20" s="9"/>
      <c r="F20" s="9"/>
      <c r="G20" s="9"/>
      <c r="H20" s="9"/>
      <c r="I20" s="9"/>
      <c r="J20" s="9"/>
      <c r="K20" s="9"/>
      <c r="L20" s="9"/>
    </row>
    <row r="21" spans="2:12" x14ac:dyDescent="0.2">
      <c r="B21" s="9"/>
      <c r="C21" s="9"/>
      <c r="D21" s="9"/>
      <c r="E21" s="9"/>
      <c r="F21" s="9"/>
      <c r="G21" s="9"/>
      <c r="H21" s="9"/>
      <c r="I21" s="9"/>
      <c r="J21" s="9"/>
      <c r="K21" s="9"/>
      <c r="L21" s="9"/>
    </row>
    <row r="22" spans="2:12" x14ac:dyDescent="0.2">
      <c r="B22" s="9"/>
      <c r="C22" s="9"/>
      <c r="D22" s="9"/>
      <c r="E22" s="9"/>
      <c r="F22" s="9"/>
      <c r="G22" s="9"/>
      <c r="H22" s="9"/>
      <c r="I22" s="9"/>
      <c r="J22" s="9"/>
      <c r="K22" s="9"/>
      <c r="L22" s="9"/>
    </row>
    <row r="23" spans="2:12" x14ac:dyDescent="0.2">
      <c r="B23" s="9"/>
      <c r="C23" s="9"/>
      <c r="D23" s="9"/>
      <c r="E23" s="9"/>
      <c r="F23" s="9"/>
      <c r="G23" s="9"/>
      <c r="H23" s="9"/>
      <c r="I23" s="9"/>
      <c r="J23" s="9"/>
      <c r="K23" s="9"/>
      <c r="L23" s="9"/>
    </row>
    <row r="24" spans="2:12" ht="15" customHeight="1" x14ac:dyDescent="0.2">
      <c r="B24" s="6" t="s">
        <v>93</v>
      </c>
      <c r="C24" s="6"/>
      <c r="D24" s="6"/>
      <c r="E24" s="6"/>
      <c r="F24" s="6"/>
      <c r="G24" s="6"/>
      <c r="H24" s="6"/>
      <c r="I24" s="6"/>
      <c r="J24" s="6"/>
      <c r="K24" s="6"/>
      <c r="L24" s="6"/>
    </row>
    <row r="25" spans="2:12" x14ac:dyDescent="0.2">
      <c r="B25" s="6"/>
      <c r="C25" s="6"/>
      <c r="D25" s="6"/>
      <c r="E25" s="6"/>
      <c r="F25" s="6"/>
      <c r="G25" s="6"/>
      <c r="H25" s="6"/>
      <c r="I25" s="6"/>
      <c r="J25" s="6"/>
      <c r="K25" s="6"/>
      <c r="L25" s="6"/>
    </row>
  </sheetData>
  <mergeCells count="7">
    <mergeCell ref="B20:L23"/>
    <mergeCell ref="B24:L25"/>
    <mergeCell ref="B3:L4"/>
    <mergeCell ref="B6:F6"/>
    <mergeCell ref="H6:L6"/>
    <mergeCell ref="B18:C18"/>
    <mergeCell ref="H18:I18"/>
  </mergeCells>
  <conditionalFormatting sqref="D8:F17">
    <cfRule type="expression" dxfId="4" priority="2">
      <formula>AND(D8="YES",ROW(D8)-7=D$18)</formula>
    </cfRule>
  </conditionalFormatting>
  <conditionalFormatting sqref="J8:L17">
    <cfRule type="expression" dxfId="3" priority="5">
      <formula>AND(J8="YES",ROW(J8)-7=J$18)</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85"/>
  <sheetViews>
    <sheetView showGridLines="0" topLeftCell="A62" zoomScale="110" zoomScaleNormal="110" workbookViewId="0">
      <selection activeCell="M18" sqref="M18"/>
    </sheetView>
  </sheetViews>
  <sheetFormatPr baseColWidth="10" defaultColWidth="8.6640625" defaultRowHeight="15" x14ac:dyDescent="0.2"/>
  <cols>
    <col min="1" max="1" width="3" customWidth="1"/>
    <col min="2" max="2" width="16" customWidth="1"/>
    <col min="3" max="12" width="9" customWidth="1"/>
  </cols>
  <sheetData>
    <row r="2" spans="2:9" ht="19.5" customHeight="1" x14ac:dyDescent="0.2">
      <c r="B2" s="10" t="s">
        <v>94</v>
      </c>
    </row>
    <row r="3" spans="2:9" ht="15" customHeight="1" x14ac:dyDescent="0.2">
      <c r="B3" s="9" t="s">
        <v>95</v>
      </c>
      <c r="C3" s="9"/>
      <c r="D3" s="9"/>
      <c r="E3" s="9"/>
      <c r="F3" s="9"/>
      <c r="G3" s="9"/>
      <c r="H3" s="9"/>
      <c r="I3" s="9"/>
    </row>
    <row r="4" spans="2:9" ht="15" customHeight="1" x14ac:dyDescent="0.2">
      <c r="B4" s="9"/>
      <c r="C4" s="9"/>
      <c r="D4" s="9"/>
      <c r="E4" s="9"/>
      <c r="F4" s="9"/>
      <c r="G4" s="9"/>
      <c r="H4" s="9"/>
      <c r="I4" s="9"/>
    </row>
    <row r="5" spans="2:9" ht="15" customHeight="1" x14ac:dyDescent="0.2">
      <c r="B5" s="9"/>
      <c r="C5" s="9"/>
      <c r="D5" s="9"/>
      <c r="E5" s="9"/>
      <c r="F5" s="9"/>
      <c r="G5" s="9"/>
      <c r="H5" s="9"/>
      <c r="I5" s="9"/>
    </row>
    <row r="7" spans="2:9" ht="15" customHeight="1" x14ac:dyDescent="0.2">
      <c r="B7" s="12" t="s">
        <v>96</v>
      </c>
    </row>
    <row r="8" spans="2:9" ht="23.25" customHeight="1" x14ac:dyDescent="0.2">
      <c r="B8" s="21" t="s">
        <v>97</v>
      </c>
      <c r="C8" s="21" t="s">
        <v>60</v>
      </c>
      <c r="D8" s="21" t="s">
        <v>61</v>
      </c>
      <c r="E8" s="21" t="s">
        <v>62</v>
      </c>
      <c r="F8" s="21" t="s">
        <v>98</v>
      </c>
      <c r="G8" s="21" t="s">
        <v>99</v>
      </c>
      <c r="H8" s="21" t="s">
        <v>100</v>
      </c>
      <c r="I8" s="21" t="s">
        <v>101</v>
      </c>
    </row>
    <row r="9" spans="2:9" ht="15" customHeight="1" x14ac:dyDescent="0.2">
      <c r="B9" s="22" t="s">
        <v>38</v>
      </c>
      <c r="C9" s="22">
        <f>'2 True Similarity'!C7</f>
        <v>1</v>
      </c>
      <c r="D9" s="22">
        <f>'2 True Similarity'!D7</f>
        <v>1</v>
      </c>
      <c r="E9" s="22">
        <f>'2 True Similarity'!E7</f>
        <v>0</v>
      </c>
      <c r="F9" s="23">
        <v>9</v>
      </c>
      <c r="G9" s="22">
        <f t="shared" ref="G9:G18" si="0">IF(C9=1,$F9,"")</f>
        <v>9</v>
      </c>
      <c r="H9" s="22">
        <f t="shared" ref="H9:H18" si="1">IF(D9=1,$F9,"")</f>
        <v>9</v>
      </c>
      <c r="I9" s="22" t="str">
        <f t="shared" ref="I9:I18" si="2">IF(E9=1,$F9,"")</f>
        <v/>
      </c>
    </row>
    <row r="10" spans="2:9" ht="15" customHeight="1" x14ac:dyDescent="0.2">
      <c r="B10" s="22" t="s">
        <v>41</v>
      </c>
      <c r="C10" s="22">
        <f>'2 True Similarity'!C8</f>
        <v>1</v>
      </c>
      <c r="D10" s="22">
        <f>'2 True Similarity'!D8</f>
        <v>1</v>
      </c>
      <c r="E10" s="22">
        <f>'2 True Similarity'!E8</f>
        <v>0</v>
      </c>
      <c r="F10" s="23">
        <v>4</v>
      </c>
      <c r="G10" s="22">
        <f t="shared" si="0"/>
        <v>4</v>
      </c>
      <c r="H10" s="22">
        <f t="shared" si="1"/>
        <v>4</v>
      </c>
      <c r="I10" s="22" t="str">
        <f t="shared" si="2"/>
        <v/>
      </c>
    </row>
    <row r="11" spans="2:9" ht="15" customHeight="1" x14ac:dyDescent="0.2">
      <c r="B11" s="22" t="s">
        <v>44</v>
      </c>
      <c r="C11" s="22">
        <f>'2 True Similarity'!C9</f>
        <v>1</v>
      </c>
      <c r="D11" s="22">
        <f>'2 True Similarity'!D9</f>
        <v>1</v>
      </c>
      <c r="E11" s="22">
        <f>'2 True Similarity'!E9</f>
        <v>0</v>
      </c>
      <c r="F11" s="23">
        <v>2</v>
      </c>
      <c r="G11" s="22">
        <f t="shared" si="0"/>
        <v>2</v>
      </c>
      <c r="H11" s="22">
        <f t="shared" si="1"/>
        <v>2</v>
      </c>
      <c r="I11" s="22" t="str">
        <f t="shared" si="2"/>
        <v/>
      </c>
    </row>
    <row r="12" spans="2:9" ht="15" customHeight="1" x14ac:dyDescent="0.2">
      <c r="B12" s="22" t="s">
        <v>47</v>
      </c>
      <c r="C12" s="22">
        <f>'2 True Similarity'!C10</f>
        <v>1</v>
      </c>
      <c r="D12" s="22">
        <f>'2 True Similarity'!D10</f>
        <v>0</v>
      </c>
      <c r="E12" s="22">
        <f>'2 True Similarity'!E10</f>
        <v>0</v>
      </c>
      <c r="F12" s="23">
        <v>5</v>
      </c>
      <c r="G12" s="22">
        <f t="shared" si="0"/>
        <v>5</v>
      </c>
      <c r="H12" s="22" t="str">
        <f t="shared" si="1"/>
        <v/>
      </c>
      <c r="I12" s="22" t="str">
        <f t="shared" si="2"/>
        <v/>
      </c>
    </row>
    <row r="13" spans="2:9" ht="15" customHeight="1" x14ac:dyDescent="0.2">
      <c r="B13" s="22" t="s">
        <v>50</v>
      </c>
      <c r="C13" s="22">
        <f>'2 True Similarity'!C11</f>
        <v>1</v>
      </c>
      <c r="D13" s="22">
        <f>'2 True Similarity'!D11</f>
        <v>0</v>
      </c>
      <c r="E13" s="22">
        <f>'2 True Similarity'!E11</f>
        <v>0</v>
      </c>
      <c r="F13" s="23">
        <v>8</v>
      </c>
      <c r="G13" s="22">
        <f t="shared" si="0"/>
        <v>8</v>
      </c>
      <c r="H13" s="22" t="str">
        <f t="shared" si="1"/>
        <v/>
      </c>
      <c r="I13" s="22" t="str">
        <f t="shared" si="2"/>
        <v/>
      </c>
    </row>
    <row r="14" spans="2:9" ht="15" customHeight="1" x14ac:dyDescent="0.2">
      <c r="B14" s="22" t="s">
        <v>51</v>
      </c>
      <c r="C14" s="22">
        <f>'2 True Similarity'!C12</f>
        <v>0</v>
      </c>
      <c r="D14" s="22">
        <f>'2 True Similarity'!D12</f>
        <v>1</v>
      </c>
      <c r="E14" s="22">
        <f>'2 True Similarity'!E12</f>
        <v>0</v>
      </c>
      <c r="F14" s="23">
        <v>1</v>
      </c>
      <c r="G14" s="22" t="str">
        <f t="shared" si="0"/>
        <v/>
      </c>
      <c r="H14" s="22">
        <f t="shared" si="1"/>
        <v>1</v>
      </c>
      <c r="I14" s="22" t="str">
        <f t="shared" si="2"/>
        <v/>
      </c>
    </row>
    <row r="15" spans="2:9" ht="15" customHeight="1" x14ac:dyDescent="0.2">
      <c r="B15" s="22" t="s">
        <v>52</v>
      </c>
      <c r="C15" s="22">
        <f>'2 True Similarity'!C13</f>
        <v>0</v>
      </c>
      <c r="D15" s="22">
        <f>'2 True Similarity'!D13</f>
        <v>1</v>
      </c>
      <c r="E15" s="22">
        <f>'2 True Similarity'!E13</f>
        <v>0</v>
      </c>
      <c r="F15" s="23">
        <v>10</v>
      </c>
      <c r="G15" s="22" t="str">
        <f t="shared" si="0"/>
        <v/>
      </c>
      <c r="H15" s="22">
        <f t="shared" si="1"/>
        <v>10</v>
      </c>
      <c r="I15" s="22" t="str">
        <f t="shared" si="2"/>
        <v/>
      </c>
    </row>
    <row r="16" spans="2:9" ht="15" customHeight="1" x14ac:dyDescent="0.2">
      <c r="B16" s="22" t="s">
        <v>53</v>
      </c>
      <c r="C16" s="22">
        <f>'2 True Similarity'!C14</f>
        <v>0</v>
      </c>
      <c r="D16" s="22">
        <f>'2 True Similarity'!D14</f>
        <v>0</v>
      </c>
      <c r="E16" s="22">
        <f>'2 True Similarity'!E14</f>
        <v>1</v>
      </c>
      <c r="F16" s="23">
        <v>7</v>
      </c>
      <c r="G16" s="22" t="str">
        <f t="shared" si="0"/>
        <v/>
      </c>
      <c r="H16" s="22" t="str">
        <f t="shared" si="1"/>
        <v/>
      </c>
      <c r="I16" s="22">
        <f t="shared" si="2"/>
        <v>7</v>
      </c>
    </row>
    <row r="17" spans="2:12" ht="15" customHeight="1" x14ac:dyDescent="0.2">
      <c r="B17" s="22" t="s">
        <v>54</v>
      </c>
      <c r="C17" s="22">
        <f>'2 True Similarity'!C15</f>
        <v>0</v>
      </c>
      <c r="D17" s="22">
        <f>'2 True Similarity'!D15</f>
        <v>0</v>
      </c>
      <c r="E17" s="22">
        <f>'2 True Similarity'!E15</f>
        <v>1</v>
      </c>
      <c r="F17" s="23">
        <v>3</v>
      </c>
      <c r="G17" s="22" t="str">
        <f t="shared" si="0"/>
        <v/>
      </c>
      <c r="H17" s="22" t="str">
        <f t="shared" si="1"/>
        <v/>
      </c>
      <c r="I17" s="22">
        <f t="shared" si="2"/>
        <v>3</v>
      </c>
    </row>
    <row r="18" spans="2:12" ht="15" customHeight="1" x14ac:dyDescent="0.2">
      <c r="B18" s="22" t="s">
        <v>55</v>
      </c>
      <c r="C18" s="22">
        <f>'2 True Similarity'!C16</f>
        <v>0</v>
      </c>
      <c r="D18" s="22">
        <f>'2 True Similarity'!D16</f>
        <v>0</v>
      </c>
      <c r="E18" s="22">
        <f>'2 True Similarity'!E16</f>
        <v>1</v>
      </c>
      <c r="F18" s="23">
        <v>6</v>
      </c>
      <c r="G18" s="22" t="str">
        <f t="shared" si="0"/>
        <v/>
      </c>
      <c r="H18" s="22" t="str">
        <f t="shared" si="1"/>
        <v/>
      </c>
      <c r="I18" s="22">
        <f t="shared" si="2"/>
        <v>6</v>
      </c>
    </row>
    <row r="19" spans="2:12" ht="15" customHeight="1" x14ac:dyDescent="0.2">
      <c r="B19" s="3" t="s">
        <v>102</v>
      </c>
      <c r="C19" s="3"/>
      <c r="D19" s="3"/>
      <c r="E19" s="3"/>
      <c r="F19" s="3"/>
      <c r="G19" s="26">
        <f>MIN(G9:G18)</f>
        <v>2</v>
      </c>
      <c r="H19" s="26">
        <f>MIN(H9:H18)</f>
        <v>1</v>
      </c>
      <c r="I19" s="26">
        <f>MIN(I9:I18)</f>
        <v>3</v>
      </c>
    </row>
    <row r="20" spans="2:12" ht="15" customHeight="1" x14ac:dyDescent="0.2">
      <c r="B20" s="2" t="s">
        <v>103</v>
      </c>
      <c r="C20" s="2"/>
      <c r="D20" s="2"/>
      <c r="E20" s="2"/>
      <c r="F20" s="2"/>
      <c r="G20" s="27" t="str">
        <f>INDEX($B$9:$B$18,MATCH(G19,G9:G18,0))</f>
        <v>sat on</v>
      </c>
      <c r="H20" s="27" t="str">
        <f>INDEX($B$9:$B$18,MATCH(H19,H9:H18,0))</f>
        <v>on a</v>
      </c>
      <c r="I20" s="27" t="str">
        <f>INDEX($B$9:$B$18,MATCH(I19,I9:I18,0))</f>
        <v>love long</v>
      </c>
    </row>
    <row r="21" spans="2:12" ht="15" customHeight="1" x14ac:dyDescent="0.2">
      <c r="B21" s="6" t="s">
        <v>104</v>
      </c>
      <c r="C21" s="6"/>
      <c r="D21" s="6"/>
      <c r="E21" s="6"/>
      <c r="F21" s="6"/>
      <c r="G21" s="6"/>
      <c r="H21" s="6"/>
      <c r="I21" s="6"/>
    </row>
    <row r="22" spans="2:12" ht="15" customHeight="1" x14ac:dyDescent="0.2">
      <c r="B22" s="6"/>
      <c r="C22" s="6"/>
      <c r="D22" s="6"/>
      <c r="E22" s="6"/>
      <c r="F22" s="6"/>
      <c r="G22" s="6"/>
      <c r="H22" s="6"/>
      <c r="I22" s="6"/>
    </row>
    <row r="24" spans="2:12" ht="15" customHeight="1" x14ac:dyDescent="0.2">
      <c r="B24" s="12" t="s">
        <v>105</v>
      </c>
    </row>
    <row r="25" spans="2:12" ht="23.25" customHeight="1" x14ac:dyDescent="0.2">
      <c r="B25" s="21" t="s">
        <v>106</v>
      </c>
      <c r="C25" s="21" t="s">
        <v>38</v>
      </c>
      <c r="D25" s="21" t="s">
        <v>41</v>
      </c>
      <c r="E25" s="21" t="s">
        <v>44</v>
      </c>
      <c r="F25" s="21" t="s">
        <v>47</v>
      </c>
      <c r="G25" s="21" t="s">
        <v>50</v>
      </c>
      <c r="H25" s="21" t="s">
        <v>51</v>
      </c>
      <c r="I25" s="21" t="s">
        <v>52</v>
      </c>
      <c r="J25" s="21" t="s">
        <v>53</v>
      </c>
      <c r="K25" s="21" t="s">
        <v>54</v>
      </c>
      <c r="L25" s="21" t="s">
        <v>55</v>
      </c>
    </row>
    <row r="26" spans="2:12" ht="15" customHeight="1" x14ac:dyDescent="0.2">
      <c r="B26" s="22" t="s">
        <v>107</v>
      </c>
      <c r="C26" s="23">
        <v>9</v>
      </c>
      <c r="D26" s="23">
        <v>4</v>
      </c>
      <c r="E26" s="23">
        <v>2</v>
      </c>
      <c r="F26" s="23">
        <v>5</v>
      </c>
      <c r="G26" s="23">
        <v>8</v>
      </c>
      <c r="H26" s="23">
        <v>1</v>
      </c>
      <c r="I26" s="23">
        <v>10</v>
      </c>
      <c r="J26" s="23">
        <v>7</v>
      </c>
      <c r="K26" s="23">
        <v>3</v>
      </c>
      <c r="L26" s="23">
        <v>6</v>
      </c>
    </row>
    <row r="27" spans="2:12" ht="15" customHeight="1" x14ac:dyDescent="0.2">
      <c r="B27" s="22" t="s">
        <v>108</v>
      </c>
      <c r="C27" s="23">
        <v>2</v>
      </c>
      <c r="D27" s="23">
        <v>3</v>
      </c>
      <c r="E27" s="23">
        <v>5</v>
      </c>
      <c r="F27" s="23">
        <v>7</v>
      </c>
      <c r="G27" s="23">
        <v>6</v>
      </c>
      <c r="H27" s="23">
        <v>10</v>
      </c>
      <c r="I27" s="23">
        <v>8</v>
      </c>
      <c r="J27" s="23">
        <v>1</v>
      </c>
      <c r="K27" s="23">
        <v>4</v>
      </c>
      <c r="L27" s="23">
        <v>9</v>
      </c>
    </row>
    <row r="28" spans="2:12" ht="15" customHeight="1" x14ac:dyDescent="0.2">
      <c r="B28" s="22" t="s">
        <v>109</v>
      </c>
      <c r="C28" s="23">
        <v>4</v>
      </c>
      <c r="D28" s="23">
        <v>6</v>
      </c>
      <c r="E28" s="23">
        <v>3</v>
      </c>
      <c r="F28" s="23">
        <v>2</v>
      </c>
      <c r="G28" s="23">
        <v>8</v>
      </c>
      <c r="H28" s="23">
        <v>5</v>
      </c>
      <c r="I28" s="23">
        <v>10</v>
      </c>
      <c r="J28" s="23">
        <v>1</v>
      </c>
      <c r="K28" s="23">
        <v>7</v>
      </c>
      <c r="L28" s="23">
        <v>9</v>
      </c>
    </row>
    <row r="29" spans="2:12" ht="15" customHeight="1" x14ac:dyDescent="0.2">
      <c r="B29" s="22" t="s">
        <v>110</v>
      </c>
      <c r="C29" s="23">
        <v>6</v>
      </c>
      <c r="D29" s="23">
        <v>3</v>
      </c>
      <c r="E29" s="23">
        <v>4</v>
      </c>
      <c r="F29" s="23">
        <v>9</v>
      </c>
      <c r="G29" s="23">
        <v>5</v>
      </c>
      <c r="H29" s="23">
        <v>8</v>
      </c>
      <c r="I29" s="23">
        <v>2</v>
      </c>
      <c r="J29" s="23">
        <v>1</v>
      </c>
      <c r="K29" s="23">
        <v>7</v>
      </c>
      <c r="L29" s="23">
        <v>10</v>
      </c>
    </row>
    <row r="30" spans="2:12" ht="15" customHeight="1" x14ac:dyDescent="0.2">
      <c r="B30" s="22" t="s">
        <v>111</v>
      </c>
      <c r="C30" s="23">
        <v>4</v>
      </c>
      <c r="D30" s="23">
        <v>6</v>
      </c>
      <c r="E30" s="23">
        <v>1</v>
      </c>
      <c r="F30" s="23">
        <v>8</v>
      </c>
      <c r="G30" s="23">
        <v>7</v>
      </c>
      <c r="H30" s="23">
        <v>10</v>
      </c>
      <c r="I30" s="23">
        <v>5</v>
      </c>
      <c r="J30" s="23">
        <v>2</v>
      </c>
      <c r="K30" s="23">
        <v>9</v>
      </c>
      <c r="L30" s="23">
        <v>3</v>
      </c>
    </row>
    <row r="31" spans="2:12" ht="15" customHeight="1" x14ac:dyDescent="0.2">
      <c r="B31" s="22" t="s">
        <v>112</v>
      </c>
      <c r="C31" s="23">
        <v>10</v>
      </c>
      <c r="D31" s="23">
        <v>3</v>
      </c>
      <c r="E31" s="23">
        <v>4</v>
      </c>
      <c r="F31" s="23">
        <v>8</v>
      </c>
      <c r="G31" s="23">
        <v>7</v>
      </c>
      <c r="H31" s="23">
        <v>1</v>
      </c>
      <c r="I31" s="23">
        <v>5</v>
      </c>
      <c r="J31" s="23">
        <v>9</v>
      </c>
      <c r="K31" s="23">
        <v>2</v>
      </c>
      <c r="L31" s="23">
        <v>6</v>
      </c>
    </row>
    <row r="32" spans="2:12" ht="15" customHeight="1" x14ac:dyDescent="0.2">
      <c r="B32" s="22" t="s">
        <v>113</v>
      </c>
      <c r="C32" s="23">
        <v>4</v>
      </c>
      <c r="D32" s="23">
        <v>1</v>
      </c>
      <c r="E32" s="23">
        <v>10</v>
      </c>
      <c r="F32" s="23">
        <v>5</v>
      </c>
      <c r="G32" s="23">
        <v>2</v>
      </c>
      <c r="H32" s="23">
        <v>7</v>
      </c>
      <c r="I32" s="23">
        <v>3</v>
      </c>
      <c r="J32" s="23">
        <v>9</v>
      </c>
      <c r="K32" s="23">
        <v>8</v>
      </c>
      <c r="L32" s="23">
        <v>6</v>
      </c>
    </row>
    <row r="33" spans="2:12" ht="15" customHeight="1" x14ac:dyDescent="0.2">
      <c r="B33" s="22" t="s">
        <v>114</v>
      </c>
      <c r="C33" s="23">
        <v>10</v>
      </c>
      <c r="D33" s="23">
        <v>1</v>
      </c>
      <c r="E33" s="23">
        <v>9</v>
      </c>
      <c r="F33" s="23">
        <v>7</v>
      </c>
      <c r="G33" s="23">
        <v>4</v>
      </c>
      <c r="H33" s="23">
        <v>6</v>
      </c>
      <c r="I33" s="23">
        <v>3</v>
      </c>
      <c r="J33" s="23">
        <v>8</v>
      </c>
      <c r="K33" s="23">
        <v>5</v>
      </c>
      <c r="L33" s="23">
        <v>2</v>
      </c>
    </row>
    <row r="35" spans="2:12" ht="15" customHeight="1" x14ac:dyDescent="0.2">
      <c r="B35" s="12" t="s">
        <v>115</v>
      </c>
    </row>
    <row r="36" spans="2:12" ht="23.25" customHeight="1" x14ac:dyDescent="0.2">
      <c r="B36" s="16" t="s">
        <v>5</v>
      </c>
      <c r="C36" s="21" t="s">
        <v>38</v>
      </c>
      <c r="D36" s="21" t="s">
        <v>41</v>
      </c>
      <c r="E36" s="21" t="s">
        <v>44</v>
      </c>
      <c r="F36" s="21" t="s">
        <v>47</v>
      </c>
      <c r="G36" s="21" t="s">
        <v>50</v>
      </c>
      <c r="H36" s="21" t="s">
        <v>51</v>
      </c>
      <c r="I36" s="21" t="s">
        <v>52</v>
      </c>
      <c r="J36" s="21" t="s">
        <v>53</v>
      </c>
      <c r="K36" s="21" t="s">
        <v>54</v>
      </c>
      <c r="L36" s="21" t="s">
        <v>55</v>
      </c>
    </row>
    <row r="37" spans="2:12" ht="15" customHeight="1" x14ac:dyDescent="0.2">
      <c r="B37" s="27" t="s">
        <v>107</v>
      </c>
      <c r="C37" s="22">
        <f>IF('2 True Similarity'!C7=1,C26,"")</f>
        <v>9</v>
      </c>
      <c r="D37" s="22">
        <f>IF('2 True Similarity'!C8=1,D26,"")</f>
        <v>4</v>
      </c>
      <c r="E37" s="22">
        <f>IF('2 True Similarity'!C9=1,E26,"")</f>
        <v>2</v>
      </c>
      <c r="F37" s="22">
        <f>IF('2 True Similarity'!C10=1,F26,"")</f>
        <v>5</v>
      </c>
      <c r="G37" s="22">
        <f>IF('2 True Similarity'!C11=1,G26,"")</f>
        <v>8</v>
      </c>
      <c r="H37" s="22" t="str">
        <f>IF('2 True Similarity'!C12=1,H26,"")</f>
        <v/>
      </c>
      <c r="I37" s="22" t="str">
        <f>IF('2 True Similarity'!C13=1,I26,"")</f>
        <v/>
      </c>
      <c r="J37" s="22" t="str">
        <f>IF('2 True Similarity'!C14=1,J26,"")</f>
        <v/>
      </c>
      <c r="K37" s="22" t="str">
        <f>IF('2 True Similarity'!C15=1,K26,"")</f>
        <v/>
      </c>
      <c r="L37" s="22" t="str">
        <f>IF('2 True Similarity'!C16=1,L26,"")</f>
        <v/>
      </c>
    </row>
    <row r="38" spans="2:12" ht="15" customHeight="1" x14ac:dyDescent="0.2">
      <c r="B38" s="27" t="s">
        <v>108</v>
      </c>
      <c r="C38" s="22">
        <f>IF('2 True Similarity'!C7=1,C27,"")</f>
        <v>2</v>
      </c>
      <c r="D38" s="22">
        <f>IF('2 True Similarity'!C8=1,D27,"")</f>
        <v>3</v>
      </c>
      <c r="E38" s="22">
        <f>IF('2 True Similarity'!C9=1,E27,"")</f>
        <v>5</v>
      </c>
      <c r="F38" s="22">
        <f>IF('2 True Similarity'!C10=1,F27,"")</f>
        <v>7</v>
      </c>
      <c r="G38" s="22">
        <f>IF('2 True Similarity'!C11=1,G27,"")</f>
        <v>6</v>
      </c>
      <c r="H38" s="22" t="str">
        <f>IF('2 True Similarity'!C12=1,H27,"")</f>
        <v/>
      </c>
      <c r="I38" s="22" t="str">
        <f>IF('2 True Similarity'!C13=1,I27,"")</f>
        <v/>
      </c>
      <c r="J38" s="22" t="str">
        <f>IF('2 True Similarity'!C14=1,J27,"")</f>
        <v/>
      </c>
      <c r="K38" s="22" t="str">
        <f>IF('2 True Similarity'!C15=1,K27,"")</f>
        <v/>
      </c>
      <c r="L38" s="22" t="str">
        <f>IF('2 True Similarity'!C16=1,L27,"")</f>
        <v/>
      </c>
    </row>
    <row r="39" spans="2:12" ht="15" customHeight="1" x14ac:dyDescent="0.2">
      <c r="B39" s="27" t="s">
        <v>109</v>
      </c>
      <c r="C39" s="22">
        <f>IF('2 True Similarity'!C7=1,C28,"")</f>
        <v>4</v>
      </c>
      <c r="D39" s="22">
        <f>IF('2 True Similarity'!C8=1,D28,"")</f>
        <v>6</v>
      </c>
      <c r="E39" s="22">
        <f>IF('2 True Similarity'!C9=1,E28,"")</f>
        <v>3</v>
      </c>
      <c r="F39" s="22">
        <f>IF('2 True Similarity'!C10=1,F28,"")</f>
        <v>2</v>
      </c>
      <c r="G39" s="22">
        <f>IF('2 True Similarity'!C11=1,G28,"")</f>
        <v>8</v>
      </c>
      <c r="H39" s="22" t="str">
        <f>IF('2 True Similarity'!C12=1,H28,"")</f>
        <v/>
      </c>
      <c r="I39" s="22" t="str">
        <f>IF('2 True Similarity'!C13=1,I28,"")</f>
        <v/>
      </c>
      <c r="J39" s="22" t="str">
        <f>IF('2 True Similarity'!C14=1,J28,"")</f>
        <v/>
      </c>
      <c r="K39" s="22" t="str">
        <f>IF('2 True Similarity'!C15=1,K28,"")</f>
        <v/>
      </c>
      <c r="L39" s="22" t="str">
        <f>IF('2 True Similarity'!C16=1,L28,"")</f>
        <v/>
      </c>
    </row>
    <row r="40" spans="2:12" ht="15" customHeight="1" x14ac:dyDescent="0.2">
      <c r="B40" s="27" t="s">
        <v>110</v>
      </c>
      <c r="C40" s="22">
        <f>IF('2 True Similarity'!C7=1,C29,"")</f>
        <v>6</v>
      </c>
      <c r="D40" s="22">
        <f>IF('2 True Similarity'!C8=1,D29,"")</f>
        <v>3</v>
      </c>
      <c r="E40" s="22">
        <f>IF('2 True Similarity'!C9=1,E29,"")</f>
        <v>4</v>
      </c>
      <c r="F40" s="22">
        <f>IF('2 True Similarity'!C10=1,F29,"")</f>
        <v>9</v>
      </c>
      <c r="G40" s="22">
        <f>IF('2 True Similarity'!C11=1,G29,"")</f>
        <v>5</v>
      </c>
      <c r="H40" s="22" t="str">
        <f>IF('2 True Similarity'!C12=1,H29,"")</f>
        <v/>
      </c>
      <c r="I40" s="22" t="str">
        <f>IF('2 True Similarity'!C13=1,I29,"")</f>
        <v/>
      </c>
      <c r="J40" s="22" t="str">
        <f>IF('2 True Similarity'!C14=1,J29,"")</f>
        <v/>
      </c>
      <c r="K40" s="22" t="str">
        <f>IF('2 True Similarity'!C15=1,K29,"")</f>
        <v/>
      </c>
      <c r="L40" s="22" t="str">
        <f>IF('2 True Similarity'!C16=1,L29,"")</f>
        <v/>
      </c>
    </row>
    <row r="41" spans="2:12" ht="15" customHeight="1" x14ac:dyDescent="0.2">
      <c r="B41" s="27" t="s">
        <v>111</v>
      </c>
      <c r="C41" s="22">
        <f>IF('2 True Similarity'!C7=1,C30,"")</f>
        <v>4</v>
      </c>
      <c r="D41" s="22">
        <f>IF('2 True Similarity'!C8=1,D30,"")</f>
        <v>6</v>
      </c>
      <c r="E41" s="22">
        <f>IF('2 True Similarity'!C9=1,E30,"")</f>
        <v>1</v>
      </c>
      <c r="F41" s="22">
        <f>IF('2 True Similarity'!C10=1,F30,"")</f>
        <v>8</v>
      </c>
      <c r="G41" s="22">
        <f>IF('2 True Similarity'!C11=1,G30,"")</f>
        <v>7</v>
      </c>
      <c r="H41" s="22" t="str">
        <f>IF('2 True Similarity'!C12=1,H30,"")</f>
        <v/>
      </c>
      <c r="I41" s="22" t="str">
        <f>IF('2 True Similarity'!C13=1,I30,"")</f>
        <v/>
      </c>
      <c r="J41" s="22" t="str">
        <f>IF('2 True Similarity'!C14=1,J30,"")</f>
        <v/>
      </c>
      <c r="K41" s="22" t="str">
        <f>IF('2 True Similarity'!C15=1,K30,"")</f>
        <v/>
      </c>
      <c r="L41" s="22" t="str">
        <f>IF('2 True Similarity'!C16=1,L30,"")</f>
        <v/>
      </c>
    </row>
    <row r="42" spans="2:12" ht="15" customHeight="1" x14ac:dyDescent="0.2">
      <c r="B42" s="27" t="s">
        <v>112</v>
      </c>
      <c r="C42" s="22">
        <f>IF('2 True Similarity'!C7=1,C31,"")</f>
        <v>10</v>
      </c>
      <c r="D42" s="22">
        <f>IF('2 True Similarity'!C8=1,D31,"")</f>
        <v>3</v>
      </c>
      <c r="E42" s="22">
        <f>IF('2 True Similarity'!C9=1,E31,"")</f>
        <v>4</v>
      </c>
      <c r="F42" s="22">
        <f>IF('2 True Similarity'!C10=1,F31,"")</f>
        <v>8</v>
      </c>
      <c r="G42" s="22">
        <f>IF('2 True Similarity'!C11=1,G31,"")</f>
        <v>7</v>
      </c>
      <c r="H42" s="22" t="str">
        <f>IF('2 True Similarity'!C12=1,H31,"")</f>
        <v/>
      </c>
      <c r="I42" s="22" t="str">
        <f>IF('2 True Similarity'!C13=1,I31,"")</f>
        <v/>
      </c>
      <c r="J42" s="22" t="str">
        <f>IF('2 True Similarity'!C14=1,J31,"")</f>
        <v/>
      </c>
      <c r="K42" s="22" t="str">
        <f>IF('2 True Similarity'!C15=1,K31,"")</f>
        <v/>
      </c>
      <c r="L42" s="22" t="str">
        <f>IF('2 True Similarity'!C16=1,L31,"")</f>
        <v/>
      </c>
    </row>
    <row r="43" spans="2:12" ht="15" customHeight="1" x14ac:dyDescent="0.2">
      <c r="B43" s="27" t="s">
        <v>113</v>
      </c>
      <c r="C43" s="22">
        <f>IF('2 True Similarity'!C7=1,C32,"")</f>
        <v>4</v>
      </c>
      <c r="D43" s="22">
        <f>IF('2 True Similarity'!C8=1,D32,"")</f>
        <v>1</v>
      </c>
      <c r="E43" s="22">
        <f>IF('2 True Similarity'!C9=1,E32,"")</f>
        <v>10</v>
      </c>
      <c r="F43" s="22">
        <f>IF('2 True Similarity'!C10=1,F32,"")</f>
        <v>5</v>
      </c>
      <c r="G43" s="22">
        <f>IF('2 True Similarity'!C11=1,G32,"")</f>
        <v>2</v>
      </c>
      <c r="H43" s="22" t="str">
        <f>IF('2 True Similarity'!C12=1,H32,"")</f>
        <v/>
      </c>
      <c r="I43" s="22" t="str">
        <f>IF('2 True Similarity'!C13=1,I32,"")</f>
        <v/>
      </c>
      <c r="J43" s="22" t="str">
        <f>IF('2 True Similarity'!C14=1,J32,"")</f>
        <v/>
      </c>
      <c r="K43" s="22" t="str">
        <f>IF('2 True Similarity'!C15=1,K32,"")</f>
        <v/>
      </c>
      <c r="L43" s="22" t="str">
        <f>IF('2 True Similarity'!C16=1,L32,"")</f>
        <v/>
      </c>
    </row>
    <row r="44" spans="2:12" ht="15" customHeight="1" x14ac:dyDescent="0.2">
      <c r="B44" s="27" t="s">
        <v>114</v>
      </c>
      <c r="C44" s="22">
        <f>IF('2 True Similarity'!C7=1,C33,"")</f>
        <v>10</v>
      </c>
      <c r="D44" s="22">
        <f>IF('2 True Similarity'!C8=1,D33,"")</f>
        <v>1</v>
      </c>
      <c r="E44" s="22">
        <f>IF('2 True Similarity'!C9=1,E33,"")</f>
        <v>9</v>
      </c>
      <c r="F44" s="22">
        <f>IF('2 True Similarity'!C10=1,F33,"")</f>
        <v>7</v>
      </c>
      <c r="G44" s="22">
        <f>IF('2 True Similarity'!C11=1,G33,"")</f>
        <v>4</v>
      </c>
      <c r="H44" s="22" t="str">
        <f>IF('2 True Similarity'!C12=1,H33,"")</f>
        <v/>
      </c>
      <c r="I44" s="22" t="str">
        <f>IF('2 True Similarity'!C13=1,I33,"")</f>
        <v/>
      </c>
      <c r="J44" s="22" t="str">
        <f>IF('2 True Similarity'!C14=1,J33,"")</f>
        <v/>
      </c>
      <c r="K44" s="22" t="str">
        <f>IF('2 True Similarity'!C15=1,K33,"")</f>
        <v/>
      </c>
      <c r="L44" s="22" t="str">
        <f>IF('2 True Similarity'!C16=1,L33,"")</f>
        <v/>
      </c>
    </row>
    <row r="46" spans="2:12" ht="23.25" customHeight="1" x14ac:dyDescent="0.2">
      <c r="B46" s="16" t="s">
        <v>8</v>
      </c>
      <c r="C46" s="21" t="s">
        <v>38</v>
      </c>
      <c r="D46" s="21" t="s">
        <v>41</v>
      </c>
      <c r="E46" s="21" t="s">
        <v>44</v>
      </c>
      <c r="F46" s="21" t="s">
        <v>47</v>
      </c>
      <c r="G46" s="21" t="s">
        <v>50</v>
      </c>
      <c r="H46" s="21" t="s">
        <v>51</v>
      </c>
      <c r="I46" s="21" t="s">
        <v>52</v>
      </c>
      <c r="J46" s="21" t="s">
        <v>53</v>
      </c>
      <c r="K46" s="21" t="s">
        <v>54</v>
      </c>
      <c r="L46" s="21" t="s">
        <v>55</v>
      </c>
    </row>
    <row r="47" spans="2:12" ht="15" customHeight="1" x14ac:dyDescent="0.2">
      <c r="B47" s="27" t="s">
        <v>107</v>
      </c>
      <c r="C47" s="22">
        <f>IF('2 True Similarity'!D7=1,C26,"")</f>
        <v>9</v>
      </c>
      <c r="D47" s="22">
        <f>IF('2 True Similarity'!D8=1,D26,"")</f>
        <v>4</v>
      </c>
      <c r="E47" s="22">
        <f>IF('2 True Similarity'!D9=1,E26,"")</f>
        <v>2</v>
      </c>
      <c r="F47" s="22" t="str">
        <f>IF('2 True Similarity'!D10=1,F26,"")</f>
        <v/>
      </c>
      <c r="G47" s="22" t="str">
        <f>IF('2 True Similarity'!D11=1,G26,"")</f>
        <v/>
      </c>
      <c r="H47" s="22">
        <f>IF('2 True Similarity'!D12=1,H26,"")</f>
        <v>1</v>
      </c>
      <c r="I47" s="22">
        <f>IF('2 True Similarity'!D13=1,I26,"")</f>
        <v>10</v>
      </c>
      <c r="J47" s="22" t="str">
        <f>IF('2 True Similarity'!D14=1,J26,"")</f>
        <v/>
      </c>
      <c r="K47" s="22" t="str">
        <f>IF('2 True Similarity'!D15=1,K26,"")</f>
        <v/>
      </c>
      <c r="L47" s="22" t="str">
        <f>IF('2 True Similarity'!D16=1,L26,"")</f>
        <v/>
      </c>
    </row>
    <row r="48" spans="2:12" ht="15" customHeight="1" x14ac:dyDescent="0.2">
      <c r="B48" s="27" t="s">
        <v>108</v>
      </c>
      <c r="C48" s="22">
        <f>IF('2 True Similarity'!D7=1,C27,"")</f>
        <v>2</v>
      </c>
      <c r="D48" s="22">
        <f>IF('2 True Similarity'!D8=1,D27,"")</f>
        <v>3</v>
      </c>
      <c r="E48" s="22">
        <f>IF('2 True Similarity'!D9=1,E27,"")</f>
        <v>5</v>
      </c>
      <c r="F48" s="22" t="str">
        <f>IF('2 True Similarity'!D10=1,F27,"")</f>
        <v/>
      </c>
      <c r="G48" s="22" t="str">
        <f>IF('2 True Similarity'!D11=1,G27,"")</f>
        <v/>
      </c>
      <c r="H48" s="22">
        <f>IF('2 True Similarity'!D12=1,H27,"")</f>
        <v>10</v>
      </c>
      <c r="I48" s="22">
        <f>IF('2 True Similarity'!D13=1,I27,"")</f>
        <v>8</v>
      </c>
      <c r="J48" s="22" t="str">
        <f>IF('2 True Similarity'!D14=1,J27,"")</f>
        <v/>
      </c>
      <c r="K48" s="22" t="str">
        <f>IF('2 True Similarity'!D15=1,K27,"")</f>
        <v/>
      </c>
      <c r="L48" s="22" t="str">
        <f>IF('2 True Similarity'!D16=1,L27,"")</f>
        <v/>
      </c>
    </row>
    <row r="49" spans="2:12" ht="15" customHeight="1" x14ac:dyDescent="0.2">
      <c r="B49" s="27" t="s">
        <v>109</v>
      </c>
      <c r="C49" s="22">
        <f>IF('2 True Similarity'!D7=1,C28,"")</f>
        <v>4</v>
      </c>
      <c r="D49" s="22">
        <f>IF('2 True Similarity'!D8=1,D28,"")</f>
        <v>6</v>
      </c>
      <c r="E49" s="22">
        <f>IF('2 True Similarity'!D9=1,E28,"")</f>
        <v>3</v>
      </c>
      <c r="F49" s="22" t="str">
        <f>IF('2 True Similarity'!D10=1,F28,"")</f>
        <v/>
      </c>
      <c r="G49" s="22" t="str">
        <f>IF('2 True Similarity'!D11=1,G28,"")</f>
        <v/>
      </c>
      <c r="H49" s="22">
        <f>IF('2 True Similarity'!D12=1,H28,"")</f>
        <v>5</v>
      </c>
      <c r="I49" s="22">
        <f>IF('2 True Similarity'!D13=1,I28,"")</f>
        <v>10</v>
      </c>
      <c r="J49" s="22" t="str">
        <f>IF('2 True Similarity'!D14=1,J28,"")</f>
        <v/>
      </c>
      <c r="K49" s="22" t="str">
        <f>IF('2 True Similarity'!D15=1,K28,"")</f>
        <v/>
      </c>
      <c r="L49" s="22" t="str">
        <f>IF('2 True Similarity'!D16=1,L28,"")</f>
        <v/>
      </c>
    </row>
    <row r="50" spans="2:12" ht="15" customHeight="1" x14ac:dyDescent="0.2">
      <c r="B50" s="27" t="s">
        <v>110</v>
      </c>
      <c r="C50" s="22">
        <f>IF('2 True Similarity'!D7=1,C29,"")</f>
        <v>6</v>
      </c>
      <c r="D50" s="22">
        <f>IF('2 True Similarity'!D8=1,D29,"")</f>
        <v>3</v>
      </c>
      <c r="E50" s="22">
        <f>IF('2 True Similarity'!D9=1,E29,"")</f>
        <v>4</v>
      </c>
      <c r="F50" s="22" t="str">
        <f>IF('2 True Similarity'!D10=1,F29,"")</f>
        <v/>
      </c>
      <c r="G50" s="22" t="str">
        <f>IF('2 True Similarity'!D11=1,G29,"")</f>
        <v/>
      </c>
      <c r="H50" s="22">
        <f>IF('2 True Similarity'!D12=1,H29,"")</f>
        <v>8</v>
      </c>
      <c r="I50" s="22">
        <f>IF('2 True Similarity'!D13=1,I29,"")</f>
        <v>2</v>
      </c>
      <c r="J50" s="22" t="str">
        <f>IF('2 True Similarity'!D14=1,J29,"")</f>
        <v/>
      </c>
      <c r="K50" s="22" t="str">
        <f>IF('2 True Similarity'!D15=1,K29,"")</f>
        <v/>
      </c>
      <c r="L50" s="22" t="str">
        <f>IF('2 True Similarity'!D16=1,L29,"")</f>
        <v/>
      </c>
    </row>
    <row r="51" spans="2:12" ht="15" customHeight="1" x14ac:dyDescent="0.2">
      <c r="B51" s="27" t="s">
        <v>111</v>
      </c>
      <c r="C51" s="22">
        <f>IF('2 True Similarity'!D7=1,C30,"")</f>
        <v>4</v>
      </c>
      <c r="D51" s="22">
        <f>IF('2 True Similarity'!D8=1,D30,"")</f>
        <v>6</v>
      </c>
      <c r="E51" s="22">
        <f>IF('2 True Similarity'!D9=1,E30,"")</f>
        <v>1</v>
      </c>
      <c r="F51" s="22" t="str">
        <f>IF('2 True Similarity'!D10=1,F30,"")</f>
        <v/>
      </c>
      <c r="G51" s="22" t="str">
        <f>IF('2 True Similarity'!D11=1,G30,"")</f>
        <v/>
      </c>
      <c r="H51" s="22">
        <f>IF('2 True Similarity'!D12=1,H30,"")</f>
        <v>10</v>
      </c>
      <c r="I51" s="22">
        <f>IF('2 True Similarity'!D13=1,I30,"")</f>
        <v>5</v>
      </c>
      <c r="J51" s="22" t="str">
        <f>IF('2 True Similarity'!D14=1,J30,"")</f>
        <v/>
      </c>
      <c r="K51" s="22" t="str">
        <f>IF('2 True Similarity'!D15=1,K30,"")</f>
        <v/>
      </c>
      <c r="L51" s="22" t="str">
        <f>IF('2 True Similarity'!D16=1,L30,"")</f>
        <v/>
      </c>
    </row>
    <row r="52" spans="2:12" ht="15" customHeight="1" x14ac:dyDescent="0.2">
      <c r="B52" s="27" t="s">
        <v>112</v>
      </c>
      <c r="C52" s="22">
        <f>IF('2 True Similarity'!D7=1,C31,"")</f>
        <v>10</v>
      </c>
      <c r="D52" s="22">
        <f>IF('2 True Similarity'!D8=1,D31,"")</f>
        <v>3</v>
      </c>
      <c r="E52" s="22">
        <f>IF('2 True Similarity'!D9=1,E31,"")</f>
        <v>4</v>
      </c>
      <c r="F52" s="22" t="str">
        <f>IF('2 True Similarity'!D10=1,F31,"")</f>
        <v/>
      </c>
      <c r="G52" s="22" t="str">
        <f>IF('2 True Similarity'!D11=1,G31,"")</f>
        <v/>
      </c>
      <c r="H52" s="22">
        <f>IF('2 True Similarity'!D12=1,H31,"")</f>
        <v>1</v>
      </c>
      <c r="I52" s="22">
        <f>IF('2 True Similarity'!D13=1,I31,"")</f>
        <v>5</v>
      </c>
      <c r="J52" s="22" t="str">
        <f>IF('2 True Similarity'!D14=1,J31,"")</f>
        <v/>
      </c>
      <c r="K52" s="22" t="str">
        <f>IF('2 True Similarity'!D15=1,K31,"")</f>
        <v/>
      </c>
      <c r="L52" s="22" t="str">
        <f>IF('2 True Similarity'!D16=1,L31,"")</f>
        <v/>
      </c>
    </row>
    <row r="53" spans="2:12" ht="15" customHeight="1" x14ac:dyDescent="0.2">
      <c r="B53" s="27" t="s">
        <v>113</v>
      </c>
      <c r="C53" s="22">
        <f>IF('2 True Similarity'!D7=1,C32,"")</f>
        <v>4</v>
      </c>
      <c r="D53" s="22">
        <f>IF('2 True Similarity'!D8=1,D32,"")</f>
        <v>1</v>
      </c>
      <c r="E53" s="22">
        <f>IF('2 True Similarity'!D9=1,E32,"")</f>
        <v>10</v>
      </c>
      <c r="F53" s="22" t="str">
        <f>IF('2 True Similarity'!D10=1,F32,"")</f>
        <v/>
      </c>
      <c r="G53" s="22" t="str">
        <f>IF('2 True Similarity'!D11=1,G32,"")</f>
        <v/>
      </c>
      <c r="H53" s="22">
        <f>IF('2 True Similarity'!D12=1,H32,"")</f>
        <v>7</v>
      </c>
      <c r="I53" s="22">
        <f>IF('2 True Similarity'!D13=1,I32,"")</f>
        <v>3</v>
      </c>
      <c r="J53" s="22" t="str">
        <f>IF('2 True Similarity'!D14=1,J32,"")</f>
        <v/>
      </c>
      <c r="K53" s="22" t="str">
        <f>IF('2 True Similarity'!D15=1,K32,"")</f>
        <v/>
      </c>
      <c r="L53" s="22" t="str">
        <f>IF('2 True Similarity'!D16=1,L32,"")</f>
        <v/>
      </c>
    </row>
    <row r="54" spans="2:12" ht="15" customHeight="1" x14ac:dyDescent="0.2">
      <c r="B54" s="27" t="s">
        <v>114</v>
      </c>
      <c r="C54" s="22">
        <f>IF('2 True Similarity'!D7=1,C33,"")</f>
        <v>10</v>
      </c>
      <c r="D54" s="22">
        <f>IF('2 True Similarity'!D8=1,D33,"")</f>
        <v>1</v>
      </c>
      <c r="E54" s="22">
        <f>IF('2 True Similarity'!D9=1,E33,"")</f>
        <v>9</v>
      </c>
      <c r="F54" s="22" t="str">
        <f>IF('2 True Similarity'!D10=1,F33,"")</f>
        <v/>
      </c>
      <c r="G54" s="22" t="str">
        <f>IF('2 True Similarity'!D11=1,G33,"")</f>
        <v/>
      </c>
      <c r="H54" s="22">
        <f>IF('2 True Similarity'!D12=1,H33,"")</f>
        <v>6</v>
      </c>
      <c r="I54" s="22">
        <f>IF('2 True Similarity'!D13=1,I33,"")</f>
        <v>3</v>
      </c>
      <c r="J54" s="22" t="str">
        <f>IF('2 True Similarity'!D14=1,J33,"")</f>
        <v/>
      </c>
      <c r="K54" s="22" t="str">
        <f>IF('2 True Similarity'!D15=1,K33,"")</f>
        <v/>
      </c>
      <c r="L54" s="22" t="str">
        <f>IF('2 True Similarity'!D16=1,L33,"")</f>
        <v/>
      </c>
    </row>
    <row r="56" spans="2:12" ht="23.25" customHeight="1" x14ac:dyDescent="0.2">
      <c r="B56" s="16" t="s">
        <v>11</v>
      </c>
      <c r="C56" s="21" t="s">
        <v>38</v>
      </c>
      <c r="D56" s="21" t="s">
        <v>41</v>
      </c>
      <c r="E56" s="21" t="s">
        <v>44</v>
      </c>
      <c r="F56" s="21" t="s">
        <v>47</v>
      </c>
      <c r="G56" s="21" t="s">
        <v>50</v>
      </c>
      <c r="H56" s="21" t="s">
        <v>51</v>
      </c>
      <c r="I56" s="21" t="s">
        <v>52</v>
      </c>
      <c r="J56" s="21" t="s">
        <v>53</v>
      </c>
      <c r="K56" s="21" t="s">
        <v>54</v>
      </c>
      <c r="L56" s="21" t="s">
        <v>55</v>
      </c>
    </row>
    <row r="57" spans="2:12" ht="15" customHeight="1" x14ac:dyDescent="0.2">
      <c r="B57" s="27" t="s">
        <v>107</v>
      </c>
      <c r="C57" s="22" t="str">
        <f>IF('2 True Similarity'!E7=1,C26,"")</f>
        <v/>
      </c>
      <c r="D57" s="22" t="str">
        <f>IF('2 True Similarity'!E8=1,D26,"")</f>
        <v/>
      </c>
      <c r="E57" s="22" t="str">
        <f>IF('2 True Similarity'!E9=1,E26,"")</f>
        <v/>
      </c>
      <c r="F57" s="22" t="str">
        <f>IF('2 True Similarity'!E10=1,F26,"")</f>
        <v/>
      </c>
      <c r="G57" s="22" t="str">
        <f>IF('2 True Similarity'!E11=1,G26,"")</f>
        <v/>
      </c>
      <c r="H57" s="22" t="str">
        <f>IF('2 True Similarity'!E12=1,H26,"")</f>
        <v/>
      </c>
      <c r="I57" s="22" t="str">
        <f>IF('2 True Similarity'!E13=1,I26,"")</f>
        <v/>
      </c>
      <c r="J57" s="22">
        <f>IF('2 True Similarity'!E14=1,J26,"")</f>
        <v>7</v>
      </c>
      <c r="K57" s="22">
        <f>IF('2 True Similarity'!E15=1,K26,"")</f>
        <v>3</v>
      </c>
      <c r="L57" s="22">
        <f>IF('2 True Similarity'!E16=1,L26,"")</f>
        <v>6</v>
      </c>
    </row>
    <row r="58" spans="2:12" ht="15" customHeight="1" x14ac:dyDescent="0.2">
      <c r="B58" s="27" t="s">
        <v>108</v>
      </c>
      <c r="C58" s="22" t="str">
        <f>IF('2 True Similarity'!E7=1,C27,"")</f>
        <v/>
      </c>
      <c r="D58" s="22" t="str">
        <f>IF('2 True Similarity'!E8=1,D27,"")</f>
        <v/>
      </c>
      <c r="E58" s="22" t="str">
        <f>IF('2 True Similarity'!E9=1,E27,"")</f>
        <v/>
      </c>
      <c r="F58" s="22" t="str">
        <f>IF('2 True Similarity'!E10=1,F27,"")</f>
        <v/>
      </c>
      <c r="G58" s="22" t="str">
        <f>IF('2 True Similarity'!E11=1,G27,"")</f>
        <v/>
      </c>
      <c r="H58" s="22" t="str">
        <f>IF('2 True Similarity'!E12=1,H27,"")</f>
        <v/>
      </c>
      <c r="I58" s="22" t="str">
        <f>IF('2 True Similarity'!E13=1,I27,"")</f>
        <v/>
      </c>
      <c r="J58" s="22">
        <f>IF('2 True Similarity'!E14=1,J27,"")</f>
        <v>1</v>
      </c>
      <c r="K58" s="22">
        <f>IF('2 True Similarity'!E15=1,K27,"")</f>
        <v>4</v>
      </c>
      <c r="L58" s="22">
        <f>IF('2 True Similarity'!E16=1,L27,"")</f>
        <v>9</v>
      </c>
    </row>
    <row r="59" spans="2:12" ht="15" customHeight="1" x14ac:dyDescent="0.2">
      <c r="B59" s="27" t="s">
        <v>109</v>
      </c>
      <c r="C59" s="22" t="str">
        <f>IF('2 True Similarity'!E7=1,C28,"")</f>
        <v/>
      </c>
      <c r="D59" s="22" t="str">
        <f>IF('2 True Similarity'!E8=1,D28,"")</f>
        <v/>
      </c>
      <c r="E59" s="22" t="str">
        <f>IF('2 True Similarity'!E9=1,E28,"")</f>
        <v/>
      </c>
      <c r="F59" s="22" t="str">
        <f>IF('2 True Similarity'!E10=1,F28,"")</f>
        <v/>
      </c>
      <c r="G59" s="22" t="str">
        <f>IF('2 True Similarity'!E11=1,G28,"")</f>
        <v/>
      </c>
      <c r="H59" s="22" t="str">
        <f>IF('2 True Similarity'!E12=1,H28,"")</f>
        <v/>
      </c>
      <c r="I59" s="22" t="str">
        <f>IF('2 True Similarity'!E13=1,I28,"")</f>
        <v/>
      </c>
      <c r="J59" s="22">
        <f>IF('2 True Similarity'!E14=1,J28,"")</f>
        <v>1</v>
      </c>
      <c r="K59" s="22">
        <f>IF('2 True Similarity'!E15=1,K28,"")</f>
        <v>7</v>
      </c>
      <c r="L59" s="22">
        <f>IF('2 True Similarity'!E16=1,L28,"")</f>
        <v>9</v>
      </c>
    </row>
    <row r="60" spans="2:12" ht="15" customHeight="1" x14ac:dyDescent="0.2">
      <c r="B60" s="27" t="s">
        <v>110</v>
      </c>
      <c r="C60" s="22" t="str">
        <f>IF('2 True Similarity'!E7=1,C29,"")</f>
        <v/>
      </c>
      <c r="D60" s="22" t="str">
        <f>IF('2 True Similarity'!E8=1,D29,"")</f>
        <v/>
      </c>
      <c r="E60" s="22" t="str">
        <f>IF('2 True Similarity'!E9=1,E29,"")</f>
        <v/>
      </c>
      <c r="F60" s="22" t="str">
        <f>IF('2 True Similarity'!E10=1,F29,"")</f>
        <v/>
      </c>
      <c r="G60" s="22" t="str">
        <f>IF('2 True Similarity'!E11=1,G29,"")</f>
        <v/>
      </c>
      <c r="H60" s="22" t="str">
        <f>IF('2 True Similarity'!E12=1,H29,"")</f>
        <v/>
      </c>
      <c r="I60" s="22" t="str">
        <f>IF('2 True Similarity'!E13=1,I29,"")</f>
        <v/>
      </c>
      <c r="J60" s="22">
        <f>IF('2 True Similarity'!E14=1,J29,"")</f>
        <v>1</v>
      </c>
      <c r="K60" s="22">
        <f>IF('2 True Similarity'!E15=1,K29,"")</f>
        <v>7</v>
      </c>
      <c r="L60" s="22">
        <f>IF('2 True Similarity'!E16=1,L29,"")</f>
        <v>10</v>
      </c>
    </row>
    <row r="61" spans="2:12" ht="15" customHeight="1" x14ac:dyDescent="0.2">
      <c r="B61" s="27" t="s">
        <v>111</v>
      </c>
      <c r="C61" s="22" t="str">
        <f>IF('2 True Similarity'!E7=1,C30,"")</f>
        <v/>
      </c>
      <c r="D61" s="22" t="str">
        <f>IF('2 True Similarity'!E8=1,D30,"")</f>
        <v/>
      </c>
      <c r="E61" s="22" t="str">
        <f>IF('2 True Similarity'!E9=1,E30,"")</f>
        <v/>
      </c>
      <c r="F61" s="22" t="str">
        <f>IF('2 True Similarity'!E10=1,F30,"")</f>
        <v/>
      </c>
      <c r="G61" s="22" t="str">
        <f>IF('2 True Similarity'!E11=1,G30,"")</f>
        <v/>
      </c>
      <c r="H61" s="22" t="str">
        <f>IF('2 True Similarity'!E12=1,H30,"")</f>
        <v/>
      </c>
      <c r="I61" s="22" t="str">
        <f>IF('2 True Similarity'!E13=1,I30,"")</f>
        <v/>
      </c>
      <c r="J61" s="22">
        <f>IF('2 True Similarity'!E14=1,J30,"")</f>
        <v>2</v>
      </c>
      <c r="K61" s="22">
        <f>IF('2 True Similarity'!E15=1,K30,"")</f>
        <v>9</v>
      </c>
      <c r="L61" s="22">
        <f>IF('2 True Similarity'!E16=1,L30,"")</f>
        <v>3</v>
      </c>
    </row>
    <row r="62" spans="2:12" ht="15" customHeight="1" x14ac:dyDescent="0.2">
      <c r="B62" s="27" t="s">
        <v>112</v>
      </c>
      <c r="C62" s="22" t="str">
        <f>IF('2 True Similarity'!E7=1,C31,"")</f>
        <v/>
      </c>
      <c r="D62" s="22" t="str">
        <f>IF('2 True Similarity'!E8=1,D31,"")</f>
        <v/>
      </c>
      <c r="E62" s="22" t="str">
        <f>IF('2 True Similarity'!E9=1,E31,"")</f>
        <v/>
      </c>
      <c r="F62" s="22" t="str">
        <f>IF('2 True Similarity'!E10=1,F31,"")</f>
        <v/>
      </c>
      <c r="G62" s="22" t="str">
        <f>IF('2 True Similarity'!E11=1,G31,"")</f>
        <v/>
      </c>
      <c r="H62" s="22" t="str">
        <f>IF('2 True Similarity'!E12=1,H31,"")</f>
        <v/>
      </c>
      <c r="I62" s="22" t="str">
        <f>IF('2 True Similarity'!E13=1,I31,"")</f>
        <v/>
      </c>
      <c r="J62" s="22">
        <f>IF('2 True Similarity'!E14=1,J31,"")</f>
        <v>9</v>
      </c>
      <c r="K62" s="22">
        <f>IF('2 True Similarity'!E15=1,K31,"")</f>
        <v>2</v>
      </c>
      <c r="L62" s="22">
        <f>IF('2 True Similarity'!E16=1,L31,"")</f>
        <v>6</v>
      </c>
    </row>
    <row r="63" spans="2:12" ht="15" customHeight="1" x14ac:dyDescent="0.2">
      <c r="B63" s="27" t="s">
        <v>113</v>
      </c>
      <c r="C63" s="22" t="str">
        <f>IF('2 True Similarity'!E7=1,C32,"")</f>
        <v/>
      </c>
      <c r="D63" s="22" t="str">
        <f>IF('2 True Similarity'!E8=1,D32,"")</f>
        <v/>
      </c>
      <c r="E63" s="22" t="str">
        <f>IF('2 True Similarity'!E9=1,E32,"")</f>
        <v/>
      </c>
      <c r="F63" s="22" t="str">
        <f>IF('2 True Similarity'!E10=1,F32,"")</f>
        <v/>
      </c>
      <c r="G63" s="22" t="str">
        <f>IF('2 True Similarity'!E11=1,G32,"")</f>
        <v/>
      </c>
      <c r="H63" s="22" t="str">
        <f>IF('2 True Similarity'!E12=1,H32,"")</f>
        <v/>
      </c>
      <c r="I63" s="22" t="str">
        <f>IF('2 True Similarity'!E13=1,I32,"")</f>
        <v/>
      </c>
      <c r="J63" s="22">
        <f>IF('2 True Similarity'!E14=1,J32,"")</f>
        <v>9</v>
      </c>
      <c r="K63" s="22">
        <f>IF('2 True Similarity'!E15=1,K32,"")</f>
        <v>8</v>
      </c>
      <c r="L63" s="22">
        <f>IF('2 True Similarity'!E16=1,L32,"")</f>
        <v>6</v>
      </c>
    </row>
    <row r="64" spans="2:12" ht="15" customHeight="1" x14ac:dyDescent="0.2">
      <c r="B64" s="27" t="s">
        <v>114</v>
      </c>
      <c r="C64" s="22" t="str">
        <f>IF('2 True Similarity'!E7=1,C33,"")</f>
        <v/>
      </c>
      <c r="D64" s="22" t="str">
        <f>IF('2 True Similarity'!E8=1,D33,"")</f>
        <v/>
      </c>
      <c r="E64" s="22" t="str">
        <f>IF('2 True Similarity'!E9=1,E33,"")</f>
        <v/>
      </c>
      <c r="F64" s="22" t="str">
        <f>IF('2 True Similarity'!E10=1,F33,"")</f>
        <v/>
      </c>
      <c r="G64" s="22" t="str">
        <f>IF('2 True Similarity'!E11=1,G33,"")</f>
        <v/>
      </c>
      <c r="H64" s="22" t="str">
        <f>IF('2 True Similarity'!E12=1,H33,"")</f>
        <v/>
      </c>
      <c r="I64" s="22" t="str">
        <f>IF('2 True Similarity'!E13=1,I33,"")</f>
        <v/>
      </c>
      <c r="J64" s="22">
        <f>IF('2 True Similarity'!E14=1,J33,"")</f>
        <v>8</v>
      </c>
      <c r="K64" s="22">
        <f>IF('2 True Similarity'!E15=1,K33,"")</f>
        <v>5</v>
      </c>
      <c r="L64" s="22">
        <f>IF('2 True Similarity'!E16=1,L33,"")</f>
        <v>2</v>
      </c>
    </row>
    <row r="67" spans="2:8" ht="15" customHeight="1" x14ac:dyDescent="0.2">
      <c r="B67" s="12" t="s">
        <v>116</v>
      </c>
    </row>
    <row r="68" spans="2:8" ht="34.5" customHeight="1" x14ac:dyDescent="0.2">
      <c r="B68" s="21" t="s">
        <v>106</v>
      </c>
      <c r="C68" s="21" t="s">
        <v>117</v>
      </c>
      <c r="D68" s="21" t="s">
        <v>118</v>
      </c>
      <c r="E68" s="21" t="s">
        <v>119</v>
      </c>
      <c r="F68" s="21" t="s">
        <v>120</v>
      </c>
      <c r="G68" s="21" t="s">
        <v>121</v>
      </c>
      <c r="H68" s="21" t="s">
        <v>122</v>
      </c>
    </row>
    <row r="69" spans="2:8" ht="15" customHeight="1" x14ac:dyDescent="0.2">
      <c r="B69" s="22" t="s">
        <v>107</v>
      </c>
      <c r="C69" s="22">
        <f t="shared" ref="C69:C76" si="3">MIN(C37:L37)</f>
        <v>2</v>
      </c>
      <c r="D69" s="22">
        <f t="shared" ref="D69:D76" si="4">MIN(C47:L47)</f>
        <v>1</v>
      </c>
      <c r="E69" s="22">
        <f t="shared" ref="E69:E76" si="5">MIN(C57:L57)</f>
        <v>3</v>
      </c>
      <c r="F69" s="22" t="str">
        <f t="shared" ref="F69:F76" si="6">IF(C69=D69,"MATCH","-")</f>
        <v>-</v>
      </c>
      <c r="G69" s="22" t="str">
        <f t="shared" ref="G69:G76" si="7">IF(C69=E69,"MATCH","-")</f>
        <v>-</v>
      </c>
      <c r="H69" s="22" t="str">
        <f t="shared" ref="H69:H76" si="8">IF(D69=E69,"MATCH","-")</f>
        <v>-</v>
      </c>
    </row>
    <row r="70" spans="2:8" ht="15" customHeight="1" x14ac:dyDescent="0.2">
      <c r="B70" s="22" t="s">
        <v>108</v>
      </c>
      <c r="C70" s="22">
        <f t="shared" si="3"/>
        <v>2</v>
      </c>
      <c r="D70" s="22">
        <f t="shared" si="4"/>
        <v>2</v>
      </c>
      <c r="E70" s="22">
        <f t="shared" si="5"/>
        <v>1</v>
      </c>
      <c r="F70" s="22" t="str">
        <f t="shared" si="6"/>
        <v>MATCH</v>
      </c>
      <c r="G70" s="22" t="str">
        <f t="shared" si="7"/>
        <v>-</v>
      </c>
      <c r="H70" s="22" t="str">
        <f t="shared" si="8"/>
        <v>-</v>
      </c>
    </row>
    <row r="71" spans="2:8" ht="15" customHeight="1" x14ac:dyDescent="0.2">
      <c r="B71" s="22" t="s">
        <v>109</v>
      </c>
      <c r="C71" s="22">
        <f t="shared" si="3"/>
        <v>2</v>
      </c>
      <c r="D71" s="22">
        <f t="shared" si="4"/>
        <v>3</v>
      </c>
      <c r="E71" s="22">
        <f t="shared" si="5"/>
        <v>1</v>
      </c>
      <c r="F71" s="22" t="str">
        <f t="shared" si="6"/>
        <v>-</v>
      </c>
      <c r="G71" s="22" t="str">
        <f t="shared" si="7"/>
        <v>-</v>
      </c>
      <c r="H71" s="22" t="str">
        <f t="shared" si="8"/>
        <v>-</v>
      </c>
    </row>
    <row r="72" spans="2:8" ht="15" customHeight="1" x14ac:dyDescent="0.2">
      <c r="B72" s="22" t="s">
        <v>110</v>
      </c>
      <c r="C72" s="22">
        <f t="shared" si="3"/>
        <v>3</v>
      </c>
      <c r="D72" s="22">
        <f t="shared" si="4"/>
        <v>2</v>
      </c>
      <c r="E72" s="22">
        <f t="shared" si="5"/>
        <v>1</v>
      </c>
      <c r="F72" s="22" t="str">
        <f t="shared" si="6"/>
        <v>-</v>
      </c>
      <c r="G72" s="22" t="str">
        <f t="shared" si="7"/>
        <v>-</v>
      </c>
      <c r="H72" s="22" t="str">
        <f t="shared" si="8"/>
        <v>-</v>
      </c>
    </row>
    <row r="73" spans="2:8" ht="15" customHeight="1" x14ac:dyDescent="0.2">
      <c r="B73" s="22" t="s">
        <v>111</v>
      </c>
      <c r="C73" s="22">
        <f t="shared" si="3"/>
        <v>1</v>
      </c>
      <c r="D73" s="22">
        <f t="shared" si="4"/>
        <v>1</v>
      </c>
      <c r="E73" s="22">
        <f t="shared" si="5"/>
        <v>2</v>
      </c>
      <c r="F73" s="22" t="str">
        <f t="shared" si="6"/>
        <v>MATCH</v>
      </c>
      <c r="G73" s="22" t="str">
        <f t="shared" si="7"/>
        <v>-</v>
      </c>
      <c r="H73" s="22" t="str">
        <f t="shared" si="8"/>
        <v>-</v>
      </c>
    </row>
    <row r="74" spans="2:8" ht="15" customHeight="1" x14ac:dyDescent="0.2">
      <c r="B74" s="22" t="s">
        <v>112</v>
      </c>
      <c r="C74" s="22">
        <f t="shared" si="3"/>
        <v>3</v>
      </c>
      <c r="D74" s="22">
        <f t="shared" si="4"/>
        <v>1</v>
      </c>
      <c r="E74" s="22">
        <f t="shared" si="5"/>
        <v>2</v>
      </c>
      <c r="F74" s="22" t="str">
        <f t="shared" si="6"/>
        <v>-</v>
      </c>
      <c r="G74" s="22" t="str">
        <f t="shared" si="7"/>
        <v>-</v>
      </c>
      <c r="H74" s="22" t="str">
        <f t="shared" si="8"/>
        <v>-</v>
      </c>
    </row>
    <row r="75" spans="2:8" ht="15" customHeight="1" x14ac:dyDescent="0.2">
      <c r="B75" s="22" t="s">
        <v>113</v>
      </c>
      <c r="C75" s="22">
        <f t="shared" si="3"/>
        <v>1</v>
      </c>
      <c r="D75" s="22">
        <f t="shared" si="4"/>
        <v>1</v>
      </c>
      <c r="E75" s="22">
        <f t="shared" si="5"/>
        <v>6</v>
      </c>
      <c r="F75" s="22" t="str">
        <f t="shared" si="6"/>
        <v>MATCH</v>
      </c>
      <c r="G75" s="22" t="str">
        <f t="shared" si="7"/>
        <v>-</v>
      </c>
      <c r="H75" s="22" t="str">
        <f t="shared" si="8"/>
        <v>-</v>
      </c>
    </row>
    <row r="76" spans="2:8" ht="15" customHeight="1" x14ac:dyDescent="0.2">
      <c r="B76" s="22" t="s">
        <v>114</v>
      </c>
      <c r="C76" s="22">
        <f t="shared" si="3"/>
        <v>1</v>
      </c>
      <c r="D76" s="22">
        <f t="shared" si="4"/>
        <v>1</v>
      </c>
      <c r="E76" s="22">
        <f t="shared" si="5"/>
        <v>2</v>
      </c>
      <c r="F76" s="22" t="str">
        <f t="shared" si="6"/>
        <v>MATCH</v>
      </c>
      <c r="G76" s="22" t="str">
        <f t="shared" si="7"/>
        <v>-</v>
      </c>
      <c r="H76" s="22" t="str">
        <f t="shared" si="8"/>
        <v>-</v>
      </c>
    </row>
    <row r="78" spans="2:8" ht="34.5" customHeight="1" x14ac:dyDescent="0.2">
      <c r="B78" s="21" t="s">
        <v>64</v>
      </c>
      <c r="C78" s="21" t="s">
        <v>123</v>
      </c>
      <c r="D78" s="21" t="s">
        <v>124</v>
      </c>
      <c r="E78" s="21" t="s">
        <v>125</v>
      </c>
    </row>
    <row r="79" spans="2:8" ht="15" customHeight="1" x14ac:dyDescent="0.2">
      <c r="B79" s="24" t="s">
        <v>68</v>
      </c>
      <c r="C79" s="22">
        <f>SUMPRODUCT(--($C$69:$C$76=$D$69:$D$76))</f>
        <v>4</v>
      </c>
      <c r="D79" s="25">
        <f>C79/8</f>
        <v>0.5</v>
      </c>
      <c r="E79" s="25">
        <f>'2 True Similarity'!E20</f>
        <v>0.42857142857142855</v>
      </c>
    </row>
    <row r="80" spans="2:8" ht="15" customHeight="1" x14ac:dyDescent="0.2">
      <c r="B80" s="24" t="s">
        <v>69</v>
      </c>
      <c r="C80" s="22">
        <f>SUMPRODUCT(--($C$69:$C$76=$E$69:$E$76))</f>
        <v>0</v>
      </c>
      <c r="D80" s="25">
        <f>C80/8</f>
        <v>0</v>
      </c>
      <c r="E80" s="25">
        <f>'2 True Similarity'!E21</f>
        <v>0</v>
      </c>
    </row>
    <row r="81" spans="2:9" ht="15" customHeight="1" x14ac:dyDescent="0.2">
      <c r="B81" s="24" t="s">
        <v>70</v>
      </c>
      <c r="C81" s="22">
        <f>SUMPRODUCT(--($D$69:$D$76=$E$69:$E$76))</f>
        <v>0</v>
      </c>
      <c r="D81" s="25">
        <f>C81/8</f>
        <v>0</v>
      </c>
      <c r="E81" s="25">
        <f>'2 True Similarity'!E22</f>
        <v>0</v>
      </c>
    </row>
    <row r="83" spans="2:9" ht="15" customHeight="1" x14ac:dyDescent="0.2">
      <c r="B83" s="6" t="s">
        <v>126</v>
      </c>
      <c r="C83" s="6"/>
      <c r="D83" s="6"/>
      <c r="E83" s="6"/>
      <c r="F83" s="6"/>
      <c r="G83" s="6"/>
      <c r="H83" s="6"/>
      <c r="I83" s="6"/>
    </row>
    <row r="84" spans="2:9" ht="15" customHeight="1" x14ac:dyDescent="0.2">
      <c r="B84" s="6"/>
      <c r="C84" s="6"/>
      <c r="D84" s="6"/>
      <c r="E84" s="6"/>
      <c r="F84" s="6"/>
      <c r="G84" s="6"/>
      <c r="H84" s="6"/>
      <c r="I84" s="6"/>
    </row>
    <row r="85" spans="2:9" ht="15" customHeight="1" x14ac:dyDescent="0.2">
      <c r="B85" s="6"/>
      <c r="C85" s="6"/>
      <c r="D85" s="6"/>
      <c r="E85" s="6"/>
      <c r="F85" s="6"/>
      <c r="G85" s="6"/>
      <c r="H85" s="6"/>
      <c r="I85" s="6"/>
    </row>
  </sheetData>
  <mergeCells count="5">
    <mergeCell ref="B3:I5"/>
    <mergeCell ref="B19:F19"/>
    <mergeCell ref="B20:F20"/>
    <mergeCell ref="B21:I22"/>
    <mergeCell ref="B83:I85"/>
  </mergeCells>
  <conditionalFormatting sqref="F69:H76">
    <cfRule type="expression" dxfId="2" priority="2">
      <formula>F69="MATCH"</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I42"/>
  <sheetViews>
    <sheetView showGridLines="0" zoomScale="110" zoomScaleNormal="110" workbookViewId="0"/>
  </sheetViews>
  <sheetFormatPr baseColWidth="10" defaultColWidth="8.6640625" defaultRowHeight="15" x14ac:dyDescent="0.2"/>
  <cols>
    <col min="1" max="1" width="3" customWidth="1"/>
    <col min="2" max="2" width="14" customWidth="1"/>
    <col min="3" max="5" width="12" customWidth="1"/>
    <col min="6" max="8" width="16" customWidth="1"/>
    <col min="9" max="9" width="18" customWidth="1"/>
    <col min="10" max="10" width="10" customWidth="1"/>
  </cols>
  <sheetData>
    <row r="2" spans="2:9" ht="19.5" customHeight="1" x14ac:dyDescent="0.2">
      <c r="B2" s="10" t="s">
        <v>127</v>
      </c>
    </row>
    <row r="3" spans="2:9" ht="15" customHeight="1" x14ac:dyDescent="0.2">
      <c r="B3" s="9" t="s">
        <v>128</v>
      </c>
      <c r="C3" s="9"/>
      <c r="D3" s="9"/>
      <c r="E3" s="9"/>
      <c r="F3" s="9"/>
      <c r="G3" s="9"/>
      <c r="H3" s="9"/>
      <c r="I3" s="9"/>
    </row>
    <row r="4" spans="2:9" ht="15" customHeight="1" x14ac:dyDescent="0.2">
      <c r="B4" s="9"/>
      <c r="C4" s="9"/>
      <c r="D4" s="9"/>
      <c r="E4" s="9"/>
      <c r="F4" s="9"/>
      <c r="G4" s="9"/>
      <c r="H4" s="9"/>
      <c r="I4" s="9"/>
    </row>
    <row r="5" spans="2:9" ht="15" customHeight="1" x14ac:dyDescent="0.2">
      <c r="B5" s="9"/>
      <c r="C5" s="9"/>
      <c r="D5" s="9"/>
      <c r="E5" s="9"/>
      <c r="F5" s="9"/>
      <c r="G5" s="9"/>
      <c r="H5" s="9"/>
      <c r="I5" s="9"/>
    </row>
    <row r="7" spans="2:9" ht="23.25" customHeight="1" x14ac:dyDescent="0.2">
      <c r="B7" s="21" t="s">
        <v>129</v>
      </c>
      <c r="C7" s="21" t="s">
        <v>130</v>
      </c>
      <c r="D7" s="21"/>
      <c r="E7" s="21" t="s">
        <v>131</v>
      </c>
      <c r="F7" s="21" t="s">
        <v>132</v>
      </c>
      <c r="G7" s="21" t="s">
        <v>133</v>
      </c>
      <c r="H7" s="21" t="s">
        <v>134</v>
      </c>
      <c r="I7" s="21" t="s">
        <v>135</v>
      </c>
    </row>
    <row r="8" spans="2:9" ht="15" customHeight="1" x14ac:dyDescent="0.2">
      <c r="B8" s="24" t="s">
        <v>136</v>
      </c>
      <c r="C8" s="22" t="s">
        <v>137</v>
      </c>
      <c r="D8" s="28"/>
      <c r="E8" s="22" t="str">
        <f>"["&amp;'3 MinHash'!C69&amp;"-"&amp;'3 MinHash'!C70&amp;"]"</f>
        <v>[2-2]</v>
      </c>
      <c r="F8" s="22" t="str">
        <f>"["&amp;'3 MinHash'!D69&amp;"-"&amp;'3 MinHash'!D70&amp;"]"</f>
        <v>[1-2]</v>
      </c>
      <c r="G8" s="22" t="str">
        <f>"["&amp;'3 MinHash'!E69&amp;"-"&amp;'3 MinHash'!E70&amp;"]"</f>
        <v>[3-1]</v>
      </c>
      <c r="H8" s="22" t="str">
        <f>IF(E8=F8,"SAME BUCKET!","-")</f>
        <v>-</v>
      </c>
      <c r="I8" s="22" t="str">
        <f>IF(OR(E8=G8,F8=G8),"SAME BUCKET!","-")</f>
        <v>-</v>
      </c>
    </row>
    <row r="9" spans="2:9" ht="15" customHeight="1" x14ac:dyDescent="0.2">
      <c r="B9" s="24" t="s">
        <v>138</v>
      </c>
      <c r="C9" s="22" t="s">
        <v>139</v>
      </c>
      <c r="D9" s="28"/>
      <c r="E9" s="22" t="str">
        <f>"["&amp;'3 MinHash'!C71&amp;"-"&amp;'3 MinHash'!C72&amp;"]"</f>
        <v>[2-3]</v>
      </c>
      <c r="F9" s="22" t="str">
        <f>"["&amp;'3 MinHash'!D71&amp;"-"&amp;'3 MinHash'!D72&amp;"]"</f>
        <v>[3-2]</v>
      </c>
      <c r="G9" s="22" t="str">
        <f>"["&amp;'3 MinHash'!E71&amp;"-"&amp;'3 MinHash'!E72&amp;"]"</f>
        <v>[1-1]</v>
      </c>
      <c r="H9" s="22" t="str">
        <f>IF(E9=F9,"SAME BUCKET!","-")</f>
        <v>-</v>
      </c>
      <c r="I9" s="22" t="str">
        <f>IF(OR(E9=G9,F9=G9),"SAME BUCKET!","-")</f>
        <v>-</v>
      </c>
    </row>
    <row r="10" spans="2:9" ht="15" customHeight="1" x14ac:dyDescent="0.2">
      <c r="B10" s="24" t="s">
        <v>140</v>
      </c>
      <c r="C10" s="22" t="s">
        <v>141</v>
      </c>
      <c r="D10" s="28"/>
      <c r="E10" s="22" t="str">
        <f>"["&amp;'3 MinHash'!C73&amp;"-"&amp;'3 MinHash'!C74&amp;"]"</f>
        <v>[1-3]</v>
      </c>
      <c r="F10" s="22" t="str">
        <f>"["&amp;'3 MinHash'!D73&amp;"-"&amp;'3 MinHash'!D74&amp;"]"</f>
        <v>[1-1]</v>
      </c>
      <c r="G10" s="22" t="str">
        <f>"["&amp;'3 MinHash'!E73&amp;"-"&amp;'3 MinHash'!E74&amp;"]"</f>
        <v>[2-2]</v>
      </c>
      <c r="H10" s="22" t="str">
        <f>IF(E10=F10,"SAME BUCKET!","-")</f>
        <v>-</v>
      </c>
      <c r="I10" s="22" t="str">
        <f>IF(OR(E10=G10,F10=G10),"SAME BUCKET!","-")</f>
        <v>-</v>
      </c>
    </row>
    <row r="11" spans="2:9" ht="15" customHeight="1" x14ac:dyDescent="0.2">
      <c r="B11" s="24" t="s">
        <v>142</v>
      </c>
      <c r="C11" s="22" t="s">
        <v>143</v>
      </c>
      <c r="D11" s="28"/>
      <c r="E11" s="22" t="str">
        <f>"["&amp;'3 MinHash'!C75&amp;"-"&amp;'3 MinHash'!C76&amp;"]"</f>
        <v>[1-1]</v>
      </c>
      <c r="F11" s="22" t="str">
        <f>"["&amp;'3 MinHash'!D75&amp;"-"&amp;'3 MinHash'!D76&amp;"]"</f>
        <v>[1-1]</v>
      </c>
      <c r="G11" s="22" t="str">
        <f>"["&amp;'3 MinHash'!E75&amp;"-"&amp;'3 MinHash'!E76&amp;"]"</f>
        <v>[6-2]</v>
      </c>
      <c r="H11" s="22" t="str">
        <f>IF(E11=F11,"SAME BUCKET!","-")</f>
        <v>SAME BUCKET!</v>
      </c>
      <c r="I11" s="22" t="str">
        <f>IF(OR(E11=G11,F11=G11),"SAME BUCKET!","-")</f>
        <v>-</v>
      </c>
    </row>
    <row r="13" spans="2:9" ht="15" customHeight="1" x14ac:dyDescent="0.2">
      <c r="B13" s="12" t="s">
        <v>144</v>
      </c>
    </row>
    <row r="14" spans="2:9" ht="15" customHeight="1" x14ac:dyDescent="0.2">
      <c r="B14" s="21" t="s">
        <v>64</v>
      </c>
      <c r="C14" s="1" t="s">
        <v>145</v>
      </c>
      <c r="D14" s="1"/>
      <c r="E14" s="1" t="s">
        <v>146</v>
      </c>
      <c r="F14" s="1"/>
      <c r="G14" s="1"/>
      <c r="H14" s="1"/>
      <c r="I14" s="1"/>
    </row>
    <row r="15" spans="2:9" ht="15" customHeight="1" x14ac:dyDescent="0.2">
      <c r="B15" s="24" t="s">
        <v>68</v>
      </c>
      <c r="C15" s="2" t="str">
        <f>IF(COUNTIF(H8:H11,"SAME BUCKET!")&gt;0,"YES - compare them","no")</f>
        <v>YES - compare them</v>
      </c>
      <c r="D15" s="2"/>
      <c r="E15" s="8" t="s">
        <v>147</v>
      </c>
      <c r="F15" s="8"/>
      <c r="G15" s="8"/>
      <c r="H15" s="8"/>
      <c r="I15" s="8"/>
    </row>
    <row r="16" spans="2:9" ht="15" customHeight="1" x14ac:dyDescent="0.2">
      <c r="B16" s="24" t="s">
        <v>148</v>
      </c>
      <c r="C16" s="2" t="str">
        <f>IF(COUNTIF(I8:I11,"SAME BUCKET!")&gt;0,"YES","no - never compared")</f>
        <v>no - never compared</v>
      </c>
      <c r="D16" s="2"/>
      <c r="E16" s="8" t="s">
        <v>149</v>
      </c>
      <c r="F16" s="8"/>
      <c r="G16" s="8"/>
      <c r="H16" s="8"/>
      <c r="I16" s="8"/>
    </row>
    <row r="18" spans="2:9" ht="15" customHeight="1" x14ac:dyDescent="0.2">
      <c r="B18" s="12" t="s">
        <v>150</v>
      </c>
    </row>
    <row r="19" spans="2:9" ht="15" customHeight="1" x14ac:dyDescent="0.2">
      <c r="B19" s="6" t="s">
        <v>151</v>
      </c>
      <c r="C19" s="6"/>
      <c r="D19" s="6"/>
      <c r="E19" s="6"/>
      <c r="F19" s="6"/>
      <c r="G19" s="6"/>
      <c r="H19" s="6"/>
      <c r="I19" s="6"/>
    </row>
    <row r="20" spans="2:9" ht="15" customHeight="1" x14ac:dyDescent="0.2">
      <c r="B20" s="6"/>
      <c r="C20" s="6"/>
      <c r="D20" s="6"/>
      <c r="E20" s="6"/>
      <c r="F20" s="6"/>
      <c r="G20" s="6"/>
      <c r="H20" s="6"/>
      <c r="I20" s="6"/>
    </row>
    <row r="21" spans="2:9" ht="34.5" customHeight="1" x14ac:dyDescent="0.2">
      <c r="B21" s="21" t="s">
        <v>152</v>
      </c>
      <c r="C21" s="21" t="s">
        <v>153</v>
      </c>
      <c r="D21" s="21" t="s">
        <v>154</v>
      </c>
    </row>
    <row r="22" spans="2:9" ht="15" customHeight="1" x14ac:dyDescent="0.2">
      <c r="B22" s="29">
        <v>0</v>
      </c>
      <c r="C22" s="30">
        <f t="shared" ref="C22:C42" si="0">B22</f>
        <v>0</v>
      </c>
      <c r="D22" s="30">
        <f t="shared" ref="D22:D42" si="1">1-(1-B22^2)^4</f>
        <v>0</v>
      </c>
    </row>
    <row r="23" spans="2:9" ht="15" customHeight="1" x14ac:dyDescent="0.2">
      <c r="B23" s="29">
        <v>0.05</v>
      </c>
      <c r="C23" s="30">
        <f t="shared" si="0"/>
        <v>0.05</v>
      </c>
      <c r="D23" s="30">
        <f t="shared" si="1"/>
        <v>9.9625624609372965E-3</v>
      </c>
    </row>
    <row r="24" spans="2:9" ht="15" customHeight="1" x14ac:dyDescent="0.2">
      <c r="B24" s="29">
        <v>0.1</v>
      </c>
      <c r="C24" s="30">
        <f t="shared" si="0"/>
        <v>0.1</v>
      </c>
      <c r="D24" s="30">
        <f t="shared" si="1"/>
        <v>3.9403990000000055E-2</v>
      </c>
    </row>
    <row r="25" spans="2:9" ht="15" customHeight="1" x14ac:dyDescent="0.2">
      <c r="B25" s="29">
        <v>0.15</v>
      </c>
      <c r="C25" s="30">
        <f t="shared" si="0"/>
        <v>0.15</v>
      </c>
      <c r="D25" s="30">
        <f t="shared" si="1"/>
        <v>8.7007806210937289E-2</v>
      </c>
    </row>
    <row r="26" spans="2:9" ht="15" customHeight="1" x14ac:dyDescent="0.2">
      <c r="B26" s="29">
        <v>0.2</v>
      </c>
      <c r="C26" s="30">
        <f t="shared" si="0"/>
        <v>0.2</v>
      </c>
      <c r="D26" s="30">
        <f t="shared" si="1"/>
        <v>0.15065344000000003</v>
      </c>
    </row>
    <row r="27" spans="2:9" ht="15" customHeight="1" x14ac:dyDescent="0.2">
      <c r="B27" s="29">
        <v>0.25</v>
      </c>
      <c r="C27" s="30">
        <f t="shared" si="0"/>
        <v>0.25</v>
      </c>
      <c r="D27" s="30">
        <f t="shared" si="1"/>
        <v>0.2275238037109375</v>
      </c>
    </row>
    <row r="28" spans="2:9" ht="15" customHeight="1" x14ac:dyDescent="0.2">
      <c r="B28" s="29">
        <v>0.3</v>
      </c>
      <c r="C28" s="30">
        <f t="shared" si="0"/>
        <v>0.3</v>
      </c>
      <c r="D28" s="30">
        <f t="shared" si="1"/>
        <v>0.31425038999999988</v>
      </c>
    </row>
    <row r="29" spans="2:9" ht="15" customHeight="1" x14ac:dyDescent="0.2">
      <c r="B29" s="29">
        <v>0.35</v>
      </c>
      <c r="C29" s="30">
        <f t="shared" si="0"/>
        <v>0.35</v>
      </c>
      <c r="D29" s="30">
        <f t="shared" si="1"/>
        <v>0.40709037496093736</v>
      </c>
    </row>
    <row r="30" spans="2:9" ht="15" customHeight="1" x14ac:dyDescent="0.2">
      <c r="B30" s="29">
        <v>0.4</v>
      </c>
      <c r="C30" s="30">
        <f t="shared" si="0"/>
        <v>0.4</v>
      </c>
      <c r="D30" s="30">
        <f t="shared" si="1"/>
        <v>0.50212864000000013</v>
      </c>
    </row>
    <row r="31" spans="2:9" ht="15" customHeight="1" x14ac:dyDescent="0.2">
      <c r="B31" s="29">
        <v>0.45</v>
      </c>
      <c r="C31" s="30">
        <f t="shared" si="0"/>
        <v>0.45</v>
      </c>
      <c r="D31" s="30">
        <f t="shared" si="1"/>
        <v>0.59549604996093752</v>
      </c>
    </row>
    <row r="32" spans="2:9" ht="15" customHeight="1" x14ac:dyDescent="0.2">
      <c r="B32" s="29">
        <v>0.5</v>
      </c>
      <c r="C32" s="30">
        <f t="shared" si="0"/>
        <v>0.5</v>
      </c>
      <c r="D32" s="30">
        <f t="shared" si="1"/>
        <v>0.68359375</v>
      </c>
    </row>
    <row r="33" spans="2:4" ht="15" customHeight="1" x14ac:dyDescent="0.2">
      <c r="B33" s="29">
        <v>0.55000000000000004</v>
      </c>
      <c r="C33" s="30">
        <f t="shared" si="0"/>
        <v>0.55000000000000004</v>
      </c>
      <c r="D33" s="30">
        <f t="shared" si="1"/>
        <v>0.76331166871093747</v>
      </c>
    </row>
    <row r="34" spans="2:4" ht="15" customHeight="1" x14ac:dyDescent="0.2">
      <c r="B34" s="29">
        <v>0.6</v>
      </c>
      <c r="C34" s="30">
        <f t="shared" si="0"/>
        <v>0.6</v>
      </c>
      <c r="D34" s="30">
        <f t="shared" si="1"/>
        <v>0.83222784000000005</v>
      </c>
    </row>
    <row r="35" spans="2:4" ht="15" customHeight="1" x14ac:dyDescent="0.2">
      <c r="B35" s="29">
        <v>0.65</v>
      </c>
      <c r="C35" s="30">
        <f t="shared" si="0"/>
        <v>0.65</v>
      </c>
      <c r="D35" s="30">
        <f t="shared" si="1"/>
        <v>0.88877358121093752</v>
      </c>
    </row>
    <row r="36" spans="2:4" ht="15" customHeight="1" x14ac:dyDescent="0.2">
      <c r="B36" s="29">
        <v>0.7</v>
      </c>
      <c r="C36" s="30">
        <f t="shared" si="0"/>
        <v>0.7</v>
      </c>
      <c r="D36" s="30">
        <f t="shared" si="1"/>
        <v>0.93234799000000002</v>
      </c>
    </row>
    <row r="37" spans="2:4" ht="15" customHeight="1" x14ac:dyDescent="0.2">
      <c r="B37" s="29">
        <v>0.75</v>
      </c>
      <c r="C37" s="30">
        <f t="shared" si="0"/>
        <v>0.75</v>
      </c>
      <c r="D37" s="30">
        <f t="shared" si="1"/>
        <v>0.9633636474609375</v>
      </c>
    </row>
    <row r="38" spans="2:4" ht="15" customHeight="1" x14ac:dyDescent="0.2">
      <c r="B38" s="29">
        <v>0.8</v>
      </c>
      <c r="C38" s="30">
        <f t="shared" si="0"/>
        <v>0.8</v>
      </c>
      <c r="D38" s="30">
        <f t="shared" si="1"/>
        <v>0.98320384000000005</v>
      </c>
    </row>
    <row r="39" spans="2:4" ht="15" customHeight="1" x14ac:dyDescent="0.2">
      <c r="B39" s="29">
        <v>0.85</v>
      </c>
      <c r="C39" s="30">
        <f t="shared" si="0"/>
        <v>0.85</v>
      </c>
      <c r="D39" s="30">
        <f t="shared" si="1"/>
        <v>0.99407003746093747</v>
      </c>
    </row>
    <row r="40" spans="2:4" ht="15" customHeight="1" x14ac:dyDescent="0.2">
      <c r="B40" s="29">
        <v>0.9</v>
      </c>
      <c r="C40" s="30">
        <f t="shared" si="0"/>
        <v>0.9</v>
      </c>
      <c r="D40" s="30">
        <f t="shared" si="1"/>
        <v>0.99869679</v>
      </c>
    </row>
    <row r="41" spans="2:4" ht="15" customHeight="1" x14ac:dyDescent="0.2">
      <c r="B41" s="29">
        <v>0.95</v>
      </c>
      <c r="C41" s="30">
        <f t="shared" si="0"/>
        <v>0.95</v>
      </c>
      <c r="D41" s="30">
        <f t="shared" si="1"/>
        <v>0.99990963121093746</v>
      </c>
    </row>
    <row r="42" spans="2:4" ht="15" customHeight="1" x14ac:dyDescent="0.2">
      <c r="B42" s="29">
        <v>1</v>
      </c>
      <c r="C42" s="30">
        <f t="shared" si="0"/>
        <v>1</v>
      </c>
      <c r="D42" s="30">
        <f t="shared" si="1"/>
        <v>1</v>
      </c>
    </row>
  </sheetData>
  <mergeCells count="8">
    <mergeCell ref="C16:D16"/>
    <mergeCell ref="E16:I16"/>
    <mergeCell ref="B19:I20"/>
    <mergeCell ref="B3:I5"/>
    <mergeCell ref="C14:D14"/>
    <mergeCell ref="E14:I14"/>
    <mergeCell ref="C15:D15"/>
    <mergeCell ref="E15:I15"/>
  </mergeCells>
  <conditionalFormatting sqref="C15">
    <cfRule type="expression" dxfId="1" priority="3">
      <formula>LEFT(C15,3)="YES"</formula>
    </cfRule>
  </conditionalFormatting>
  <conditionalFormatting sqref="H8:I11">
    <cfRule type="expression" dxfId="0" priority="2">
      <formula>H8="SAME BUCKET!"</formula>
    </cfRule>
  </conditionalFormatting>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 ME</vt:lpstr>
      <vt:lpstr>1 Shingling</vt:lpstr>
      <vt:lpstr>2 True Similarity</vt:lpstr>
      <vt:lpstr>3a The Queue</vt:lpstr>
      <vt:lpstr>3 MinHash</vt:lpstr>
      <vt:lpstr>4 LSH Buckets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Krishna Chaitanya Lanka</cp:lastModifiedBy>
  <cp:revision>3</cp:revision>
  <dcterms:created xsi:type="dcterms:W3CDTF">2026-08-18T10:01:34Z</dcterms:created>
  <dcterms:modified xsi:type="dcterms:W3CDTF">2026-08-18T10:49:25Z</dcterms:modified>
  <dc:language>en-US</dc:language>
</cp:coreProperties>
</file>